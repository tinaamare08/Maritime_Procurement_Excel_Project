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lphardmaritime-my.sharepoint.com/personal/purchase1_alphardmaritime_com/Documents/Desktop/"/>
    </mc:Choice>
  </mc:AlternateContent>
  <xr:revisionPtr revIDLastSave="130" documentId="13_ncr:1_{0A959E1E-E556-4FC4-B0D3-4900C006B4F0}" xr6:coauthVersionLast="47" xr6:coauthVersionMax="47" xr10:uidLastSave="{C450DF9C-9E5C-4CDF-92F6-7646F52FB588}"/>
  <bookViews>
    <workbookView xWindow="-108" yWindow="-108" windowWidth="23256" windowHeight="12456" activeTab="1" xr2:uid="{00000000-000D-0000-FFFF-FFFF00000000}"/>
  </bookViews>
  <sheets>
    <sheet name="Analysis" sheetId="1" r:id="rId1"/>
    <sheet name="Dashboard" sheetId="7" r:id="rId2"/>
    <sheet name="Procurement_Data" sheetId="3" r:id="rId3"/>
    <sheet name="Pivot Summary" sheetId="4" r:id="rId4"/>
    <sheet name="Pivot Summary 1" sheetId="2" r:id="rId5"/>
    <sheet name="Data" sheetId="6" r:id="rId6"/>
  </sheets>
  <definedNames>
    <definedName name="_xlnm._FilterDatabase" localSheetId="1" hidden="1">Dashboard!$D$5:$D$32</definedName>
    <definedName name="Slicer_Category">#N/A</definedName>
    <definedName name="Slicer_Status">#N/A</definedName>
    <definedName name="Slicer_Vendor">#N/A</definedName>
    <definedName name="Slicer_Vessel">#N/A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7" l="1"/>
  <c r="I6" i="7"/>
</calcChain>
</file>

<file path=xl/sharedStrings.xml><?xml version="1.0" encoding="utf-8"?>
<sst xmlns="http://schemas.openxmlformats.org/spreadsheetml/2006/main" count="1641" uniqueCount="615">
  <si>
    <t>MARITIME PROCUREMENT ANALYSIS PROJECT</t>
  </si>
  <si>
    <t>Project Objective:</t>
  </si>
  <si>
    <t>Analyze vessel procurement, vendor performance, purchase expenses and delivery tracking.</t>
  </si>
  <si>
    <t>Excel Features Used:</t>
  </si>
  <si>
    <t>• Pivot Tables</t>
  </si>
  <si>
    <t>• Pivot Charts</t>
  </si>
  <si>
    <t>• KPI Dashboard</t>
  </si>
  <si>
    <t>• Conditional Formatting</t>
  </si>
  <si>
    <t>• Interactive Reporting</t>
  </si>
  <si>
    <t>Key Insights:</t>
  </si>
  <si>
    <t>• Highest spending vessel identified</t>
  </si>
  <si>
    <t>• Vendor-wise purchase tracking</t>
  </si>
  <si>
    <t>• Category distribution analysis</t>
  </si>
  <si>
    <t>• Pending delivery monitoring</t>
  </si>
  <si>
    <t>MARITIME PROCUREMENT DASHBOARD</t>
  </si>
  <si>
    <t>Total Purchase</t>
  </si>
  <si>
    <t>Vessel</t>
  </si>
  <si>
    <t>Expense</t>
  </si>
  <si>
    <t>AM LEGEND</t>
  </si>
  <si>
    <t>AM PEARL</t>
  </si>
  <si>
    <t>Total Vendors</t>
  </si>
  <si>
    <t>AM POWER</t>
  </si>
  <si>
    <t>AM PRECIOUS</t>
  </si>
  <si>
    <t>AM STAR</t>
  </si>
  <si>
    <t>Pending Deliveries</t>
  </si>
  <si>
    <t>Total PO</t>
  </si>
  <si>
    <t>Category</t>
  </si>
  <si>
    <t>Amount</t>
  </si>
  <si>
    <t>Deck Stores</t>
  </si>
  <si>
    <t>Electrical</t>
  </si>
  <si>
    <t>Engine Spares</t>
  </si>
  <si>
    <t>Lube Oil</t>
  </si>
  <si>
    <t>Safety Items</t>
  </si>
  <si>
    <t>Date</t>
  </si>
  <si>
    <t>Vendor</t>
  </si>
  <si>
    <t>PO No</t>
  </si>
  <si>
    <t>Invoice No</t>
  </si>
  <si>
    <t>Status</t>
  </si>
  <si>
    <t>Delivery Days</t>
  </si>
  <si>
    <t>06-01-2025</t>
  </si>
  <si>
    <t>DRS Marine</t>
  </si>
  <si>
    <t>PO-1001</t>
  </si>
  <si>
    <t>INV-2001</t>
  </si>
  <si>
    <t>Delivered</t>
  </si>
  <si>
    <t>15-05-2025</t>
  </si>
  <si>
    <t>PO-1002</t>
  </si>
  <si>
    <t>INV-2002</t>
  </si>
  <si>
    <t>In Transit</t>
  </si>
  <si>
    <t>20-02-2025</t>
  </si>
  <si>
    <t>PO-1003</t>
  </si>
  <si>
    <t>INV-2003</t>
  </si>
  <si>
    <t>05-01-2025</t>
  </si>
  <si>
    <t>Raj Industries</t>
  </si>
  <si>
    <t>PO-1004</t>
  </si>
  <si>
    <t>INV-2004</t>
  </si>
  <si>
    <t>Pending</t>
  </si>
  <si>
    <t>22-11-2025</t>
  </si>
  <si>
    <t>Lynx Marine</t>
  </si>
  <si>
    <t>PO-1005</t>
  </si>
  <si>
    <t>INV-2005</t>
  </si>
  <si>
    <t>28-10-2025</t>
  </si>
  <si>
    <t>Mars Petrochem</t>
  </si>
  <si>
    <t>PO-1006</t>
  </si>
  <si>
    <t>INV-2006</t>
  </si>
  <si>
    <t>07-03-2025</t>
  </si>
  <si>
    <t>PO-1007</t>
  </si>
  <si>
    <t>INV-2007</t>
  </si>
  <si>
    <t>25-11-2025</t>
  </si>
  <si>
    <t>PO-1008</t>
  </si>
  <si>
    <t>INV-2008</t>
  </si>
  <si>
    <t>04-01-2025</t>
  </si>
  <si>
    <t>PO-1009</t>
  </si>
  <si>
    <t>INV-2009</t>
  </si>
  <si>
    <t>25-12-2025</t>
  </si>
  <si>
    <t>PO-1010</t>
  </si>
  <si>
    <t>INV-2010</t>
  </si>
  <si>
    <t>13-03-2025</t>
  </si>
  <si>
    <t>PO-1011</t>
  </si>
  <si>
    <t>INV-2011</t>
  </si>
  <si>
    <t>08-06-2025</t>
  </si>
  <si>
    <t>PO-1012</t>
  </si>
  <si>
    <t>INV-2012</t>
  </si>
  <si>
    <t>PO-1013</t>
  </si>
  <si>
    <t>INV-2013</t>
  </si>
  <si>
    <t>18-08-2025</t>
  </si>
  <si>
    <t>PO-1014</t>
  </si>
  <si>
    <t>INV-2014</t>
  </si>
  <si>
    <t>18-09-2025</t>
  </si>
  <si>
    <t>PO-1015</t>
  </si>
  <si>
    <t>INV-2015</t>
  </si>
  <si>
    <t>19-10-2025</t>
  </si>
  <si>
    <t>Ocean Supply</t>
  </si>
  <si>
    <t>PO-1016</t>
  </si>
  <si>
    <t>INV-2016</t>
  </si>
  <si>
    <t>07-06-2025</t>
  </si>
  <si>
    <t>PO-1017</t>
  </si>
  <si>
    <t>INV-2017</t>
  </si>
  <si>
    <t>14-01-2025</t>
  </si>
  <si>
    <t>PO-1018</t>
  </si>
  <si>
    <t>INV-2018</t>
  </si>
  <si>
    <t>21-04-2025</t>
  </si>
  <si>
    <t>PO-1019</t>
  </si>
  <si>
    <t>INV-2019</t>
  </si>
  <si>
    <t>11-06-2025</t>
  </si>
  <si>
    <t>PO-1020</t>
  </si>
  <si>
    <t>INV-2020</t>
  </si>
  <si>
    <t>08-10-2025</t>
  </si>
  <si>
    <t>PO-1021</t>
  </si>
  <si>
    <t>INV-2021</t>
  </si>
  <si>
    <t>27-03-2025</t>
  </si>
  <si>
    <t>PO-1022</t>
  </si>
  <si>
    <t>INV-2022</t>
  </si>
  <si>
    <t>24-11-2025</t>
  </si>
  <si>
    <t>PO-1023</t>
  </si>
  <si>
    <t>INV-2023</t>
  </si>
  <si>
    <t>07-07-2025</t>
  </si>
  <si>
    <t>PO-1024</t>
  </si>
  <si>
    <t>INV-2024</t>
  </si>
  <si>
    <t>PO-1025</t>
  </si>
  <si>
    <t>INV-2025</t>
  </si>
  <si>
    <t>29-03-2025</t>
  </si>
  <si>
    <t>PO-1026</t>
  </si>
  <si>
    <t>INV-2026</t>
  </si>
  <si>
    <t>10-11-2025</t>
  </si>
  <si>
    <t>PO-1027</t>
  </si>
  <si>
    <t>INV-2027</t>
  </si>
  <si>
    <t>01-02-2025</t>
  </si>
  <si>
    <t>PO-1028</t>
  </si>
  <si>
    <t>INV-2028</t>
  </si>
  <si>
    <t>28-05-2025</t>
  </si>
  <si>
    <t>PO-1029</t>
  </si>
  <si>
    <t>INV-2029</t>
  </si>
  <si>
    <t>25-03-2025</t>
  </si>
  <si>
    <t>PO-1030</t>
  </si>
  <si>
    <t>INV-2030</t>
  </si>
  <si>
    <t>26-10-2025</t>
  </si>
  <si>
    <t>PO-1031</t>
  </si>
  <si>
    <t>INV-2031</t>
  </si>
  <si>
    <t>01-08-2025</t>
  </si>
  <si>
    <t>PO-1032</t>
  </si>
  <si>
    <t>INV-2032</t>
  </si>
  <si>
    <t>31-05-2025</t>
  </si>
  <si>
    <t>PO-1033</t>
  </si>
  <si>
    <t>INV-2033</t>
  </si>
  <si>
    <t>31-08-2025</t>
  </si>
  <si>
    <t>PO-1034</t>
  </si>
  <si>
    <t>INV-2034</t>
  </si>
  <si>
    <t>06-07-2025</t>
  </si>
  <si>
    <t>PO-1035</t>
  </si>
  <si>
    <t>INV-2035</t>
  </si>
  <si>
    <t>17-08-2025</t>
  </si>
  <si>
    <t>PO-1036</t>
  </si>
  <si>
    <t>INV-2036</t>
  </si>
  <si>
    <t>09-09-2025</t>
  </si>
  <si>
    <t>PO-1037</t>
  </si>
  <si>
    <t>INV-2037</t>
  </si>
  <si>
    <t>04-07-2025</t>
  </si>
  <si>
    <t>PO-1038</t>
  </si>
  <si>
    <t>INV-2038</t>
  </si>
  <si>
    <t>10-03-2025</t>
  </si>
  <si>
    <t>PO-1039</t>
  </si>
  <si>
    <t>INV-2039</t>
  </si>
  <si>
    <t>04-08-2025</t>
  </si>
  <si>
    <t>PO-1040</t>
  </si>
  <si>
    <t>INV-2040</t>
  </si>
  <si>
    <t>PO-1041</t>
  </si>
  <si>
    <t>INV-2041</t>
  </si>
  <si>
    <t>PO-1042</t>
  </si>
  <si>
    <t>INV-2042</t>
  </si>
  <si>
    <t>14-10-2025</t>
  </si>
  <si>
    <t>PO-1043</t>
  </si>
  <si>
    <t>INV-2043</t>
  </si>
  <si>
    <t>13-02-2025</t>
  </si>
  <si>
    <t>PO-1044</t>
  </si>
  <si>
    <t>INV-2044</t>
  </si>
  <si>
    <t>16-03-2025</t>
  </si>
  <si>
    <t>PO-1045</t>
  </si>
  <si>
    <t>INV-2045</t>
  </si>
  <si>
    <t>17-09-2025</t>
  </si>
  <si>
    <t>PO-1046</t>
  </si>
  <si>
    <t>INV-2046</t>
  </si>
  <si>
    <t>PO-1047</t>
  </si>
  <si>
    <t>INV-2047</t>
  </si>
  <si>
    <t>05-10-2025</t>
  </si>
  <si>
    <t>PO-1048</t>
  </si>
  <si>
    <t>INV-2048</t>
  </si>
  <si>
    <t>29-01-2025</t>
  </si>
  <si>
    <t>PO-1049</t>
  </si>
  <si>
    <t>INV-2049</t>
  </si>
  <si>
    <t>30-03-2025</t>
  </si>
  <si>
    <t>PO-1050</t>
  </si>
  <si>
    <t>INV-2050</t>
  </si>
  <si>
    <t>05-04-2025</t>
  </si>
  <si>
    <t>PO-1051</t>
  </si>
  <si>
    <t>INV-2051</t>
  </si>
  <si>
    <t>05-11-2025</t>
  </si>
  <si>
    <t>PO-1052</t>
  </si>
  <si>
    <t>INV-2052</t>
  </si>
  <si>
    <t>26-05-2025</t>
  </si>
  <si>
    <t>PO-1053</t>
  </si>
  <si>
    <t>INV-2053</t>
  </si>
  <si>
    <t>21-01-2025</t>
  </si>
  <si>
    <t>PO-1054</t>
  </si>
  <si>
    <t>INV-2054</t>
  </si>
  <si>
    <t>29-12-2025</t>
  </si>
  <si>
    <t>PO-1055</t>
  </si>
  <si>
    <t>INV-2055</t>
  </si>
  <si>
    <t>31-10-2025</t>
  </si>
  <si>
    <t>PO-1056</t>
  </si>
  <si>
    <t>INV-2056</t>
  </si>
  <si>
    <t>27-10-2025</t>
  </si>
  <si>
    <t>PO-1057</t>
  </si>
  <si>
    <t>INV-2057</t>
  </si>
  <si>
    <t>29-11-2025</t>
  </si>
  <si>
    <t>PO-1058</t>
  </si>
  <si>
    <t>INV-2058</t>
  </si>
  <si>
    <t>09-02-2025</t>
  </si>
  <si>
    <t>PO-1059</t>
  </si>
  <si>
    <t>INV-2059</t>
  </si>
  <si>
    <t>PO-1060</t>
  </si>
  <si>
    <t>INV-2060</t>
  </si>
  <si>
    <t>18-12-2025</t>
  </si>
  <si>
    <t>PO-1061</t>
  </si>
  <si>
    <t>INV-2061</t>
  </si>
  <si>
    <t>22-12-2025</t>
  </si>
  <si>
    <t>PO-1062</t>
  </si>
  <si>
    <t>INV-2062</t>
  </si>
  <si>
    <t>PO-1063</t>
  </si>
  <si>
    <t>INV-2063</t>
  </si>
  <si>
    <t>01-04-2025</t>
  </si>
  <si>
    <t>PO-1064</t>
  </si>
  <si>
    <t>INV-2064</t>
  </si>
  <si>
    <t>28-04-2025</t>
  </si>
  <si>
    <t>PO-1065</t>
  </si>
  <si>
    <t>INV-2065</t>
  </si>
  <si>
    <t>12-05-2025</t>
  </si>
  <si>
    <t>PO-1066</t>
  </si>
  <si>
    <t>INV-2066</t>
  </si>
  <si>
    <t>29-08-2025</t>
  </si>
  <si>
    <t>PO-1067</t>
  </si>
  <si>
    <t>INV-2067</t>
  </si>
  <si>
    <t>13-12-2025</t>
  </si>
  <si>
    <t>PO-1068</t>
  </si>
  <si>
    <t>INV-2068</t>
  </si>
  <si>
    <t>11-01-2025</t>
  </si>
  <si>
    <t>PO-1069</t>
  </si>
  <si>
    <t>INV-2069</t>
  </si>
  <si>
    <t>19-07-2025</t>
  </si>
  <si>
    <t>PO-1070</t>
  </si>
  <si>
    <t>INV-2070</t>
  </si>
  <si>
    <t>26-02-2025</t>
  </si>
  <si>
    <t>PO-1071</t>
  </si>
  <si>
    <t>INV-2071</t>
  </si>
  <si>
    <t>24-06-2025</t>
  </si>
  <si>
    <t>PO-1072</t>
  </si>
  <si>
    <t>INV-2072</t>
  </si>
  <si>
    <t>03-05-2025</t>
  </si>
  <si>
    <t>PO-1073</t>
  </si>
  <si>
    <t>INV-2073</t>
  </si>
  <si>
    <t>28-06-2025</t>
  </si>
  <si>
    <t>PO-1074</t>
  </si>
  <si>
    <t>INV-2074</t>
  </si>
  <si>
    <t>25-05-2025</t>
  </si>
  <si>
    <t>PO-1075</t>
  </si>
  <si>
    <t>INV-2075</t>
  </si>
  <si>
    <t>03-07-2025</t>
  </si>
  <si>
    <t>PO-1076</t>
  </si>
  <si>
    <t>INV-2076</t>
  </si>
  <si>
    <t>25-06-2025</t>
  </si>
  <si>
    <t>PO-1077</t>
  </si>
  <si>
    <t>INV-2077</t>
  </si>
  <si>
    <t>28-08-2025</t>
  </si>
  <si>
    <t>PO-1078</t>
  </si>
  <si>
    <t>INV-2078</t>
  </si>
  <si>
    <t>04-02-2025</t>
  </si>
  <si>
    <t>PO-1079</t>
  </si>
  <si>
    <t>INV-2079</t>
  </si>
  <si>
    <t>PO-1080</t>
  </si>
  <si>
    <t>INV-2080</t>
  </si>
  <si>
    <t>18-03-2025</t>
  </si>
  <si>
    <t>PO-1081</t>
  </si>
  <si>
    <t>INV-2081</t>
  </si>
  <si>
    <t>12-04-2025</t>
  </si>
  <si>
    <t>PO-1082</t>
  </si>
  <si>
    <t>INV-2082</t>
  </si>
  <si>
    <t>PO-1083</t>
  </si>
  <si>
    <t>INV-2083</t>
  </si>
  <si>
    <t>07-01-2025</t>
  </si>
  <si>
    <t>PO-1084</t>
  </si>
  <si>
    <t>INV-2084</t>
  </si>
  <si>
    <t>PO-1085</t>
  </si>
  <si>
    <t>INV-2085</t>
  </si>
  <si>
    <t>30-07-2025</t>
  </si>
  <si>
    <t>PO-1086</t>
  </si>
  <si>
    <t>INV-2086</t>
  </si>
  <si>
    <t>17-01-2025</t>
  </si>
  <si>
    <t>PO-1087</t>
  </si>
  <si>
    <t>INV-2087</t>
  </si>
  <si>
    <t>14-12-2025</t>
  </si>
  <si>
    <t>PO-1088</t>
  </si>
  <si>
    <t>INV-2088</t>
  </si>
  <si>
    <t>24-03-2025</t>
  </si>
  <si>
    <t>PO-1089</t>
  </si>
  <si>
    <t>INV-2089</t>
  </si>
  <si>
    <t>02-04-2025</t>
  </si>
  <si>
    <t>PO-1090</t>
  </si>
  <si>
    <t>INV-2090</t>
  </si>
  <si>
    <t>PO-1091</t>
  </si>
  <si>
    <t>INV-2091</t>
  </si>
  <si>
    <t>27-04-2025</t>
  </si>
  <si>
    <t>PO-1092</t>
  </si>
  <si>
    <t>INV-2092</t>
  </si>
  <si>
    <t>12-03-2025</t>
  </si>
  <si>
    <t>PO-1093</t>
  </si>
  <si>
    <t>INV-2093</t>
  </si>
  <si>
    <t>16-10-2025</t>
  </si>
  <si>
    <t>PO-1094</t>
  </si>
  <si>
    <t>INV-2094</t>
  </si>
  <si>
    <t>03-01-2025</t>
  </si>
  <si>
    <t>PO-1095</t>
  </si>
  <si>
    <t>INV-2095</t>
  </si>
  <si>
    <t>15-10-2025</t>
  </si>
  <si>
    <t>PO-1096</t>
  </si>
  <si>
    <t>INV-2096</t>
  </si>
  <si>
    <t>12-09-2025</t>
  </si>
  <si>
    <t>PO-1097</t>
  </si>
  <si>
    <t>INV-2097</t>
  </si>
  <si>
    <t>21-07-2025</t>
  </si>
  <si>
    <t>PO-1098</t>
  </si>
  <si>
    <t>INV-2098</t>
  </si>
  <si>
    <t>17-10-2025</t>
  </si>
  <si>
    <t>PO-1099</t>
  </si>
  <si>
    <t>INV-2099</t>
  </si>
  <si>
    <t>PO-1100</t>
  </si>
  <si>
    <t>INV-2100</t>
  </si>
  <si>
    <t>15-04-2025</t>
  </si>
  <si>
    <t>PO-1101</t>
  </si>
  <si>
    <t>INV-2101</t>
  </si>
  <si>
    <t>19-06-2025</t>
  </si>
  <si>
    <t>PO-1102</t>
  </si>
  <si>
    <t>INV-2102</t>
  </si>
  <si>
    <t>10-10-2025</t>
  </si>
  <si>
    <t>PO-1103</t>
  </si>
  <si>
    <t>INV-2103</t>
  </si>
  <si>
    <t>PO-1104</t>
  </si>
  <si>
    <t>INV-2104</t>
  </si>
  <si>
    <t>07-12-2025</t>
  </si>
  <si>
    <t>PO-1105</t>
  </si>
  <si>
    <t>INV-2105</t>
  </si>
  <si>
    <t>11-08-2025</t>
  </si>
  <si>
    <t>PO-1106</t>
  </si>
  <si>
    <t>INV-2106</t>
  </si>
  <si>
    <t>07-10-2025</t>
  </si>
  <si>
    <t>PO-1107</t>
  </si>
  <si>
    <t>INV-2107</t>
  </si>
  <si>
    <t>13-07-2025</t>
  </si>
  <si>
    <t>PO-1108</t>
  </si>
  <si>
    <t>INV-2108</t>
  </si>
  <si>
    <t>23-05-2025</t>
  </si>
  <si>
    <t>PO-1109</t>
  </si>
  <si>
    <t>INV-2109</t>
  </si>
  <si>
    <t>PO-1110</t>
  </si>
  <si>
    <t>INV-2110</t>
  </si>
  <si>
    <t>24-05-2025</t>
  </si>
  <si>
    <t>PO-1111</t>
  </si>
  <si>
    <t>INV-2111</t>
  </si>
  <si>
    <t>18-02-2025</t>
  </si>
  <si>
    <t>PO-1112</t>
  </si>
  <si>
    <t>INV-2112</t>
  </si>
  <si>
    <t>27-01-2025</t>
  </si>
  <si>
    <t>PO-1113</t>
  </si>
  <si>
    <t>INV-2113</t>
  </si>
  <si>
    <t>PO-1114</t>
  </si>
  <si>
    <t>INV-2114</t>
  </si>
  <si>
    <t>26-03-2025</t>
  </si>
  <si>
    <t>PO-1115</t>
  </si>
  <si>
    <t>INV-2115</t>
  </si>
  <si>
    <t>30-05-2025</t>
  </si>
  <si>
    <t>PO-1116</t>
  </si>
  <si>
    <t>INV-2116</t>
  </si>
  <si>
    <t>22-09-2025</t>
  </si>
  <si>
    <t>PO-1117</t>
  </si>
  <si>
    <t>INV-2117</t>
  </si>
  <si>
    <t>14-02-2025</t>
  </si>
  <si>
    <t>PO-1118</t>
  </si>
  <si>
    <t>INV-2118</t>
  </si>
  <si>
    <t>05-08-2025</t>
  </si>
  <si>
    <t>PO-1119</t>
  </si>
  <si>
    <t>INV-2119</t>
  </si>
  <si>
    <t>21-10-2025</t>
  </si>
  <si>
    <t>PO-1120</t>
  </si>
  <si>
    <t>INV-2120</t>
  </si>
  <si>
    <t>13-11-2025</t>
  </si>
  <si>
    <t>PO-1121</t>
  </si>
  <si>
    <t>INV-2121</t>
  </si>
  <si>
    <t>PO-1122</t>
  </si>
  <si>
    <t>INV-2122</t>
  </si>
  <si>
    <t>PO-1123</t>
  </si>
  <si>
    <t>INV-2123</t>
  </si>
  <si>
    <t>01-09-2025</t>
  </si>
  <si>
    <t>PO-1124</t>
  </si>
  <si>
    <t>INV-2124</t>
  </si>
  <si>
    <t>03-09-2025</t>
  </si>
  <si>
    <t>PO-1125</t>
  </si>
  <si>
    <t>INV-2125</t>
  </si>
  <si>
    <t>03-08-2025</t>
  </si>
  <si>
    <t>PO-1126</t>
  </si>
  <si>
    <t>INV-2126</t>
  </si>
  <si>
    <t>28-12-2025</t>
  </si>
  <si>
    <t>PO-1127</t>
  </si>
  <si>
    <t>INV-2127</t>
  </si>
  <si>
    <t>PO-1128</t>
  </si>
  <si>
    <t>INV-2128</t>
  </si>
  <si>
    <t>25-10-2025</t>
  </si>
  <si>
    <t>PO-1129</t>
  </si>
  <si>
    <t>INV-2129</t>
  </si>
  <si>
    <t>PO-1130</t>
  </si>
  <si>
    <t>INV-2130</t>
  </si>
  <si>
    <t>PO-1131</t>
  </si>
  <si>
    <t>INV-2131</t>
  </si>
  <si>
    <t>09-07-2025</t>
  </si>
  <si>
    <t>PO-1132</t>
  </si>
  <si>
    <t>INV-2132</t>
  </si>
  <si>
    <t>25-08-2025</t>
  </si>
  <si>
    <t>PO-1133</t>
  </si>
  <si>
    <t>INV-2133</t>
  </si>
  <si>
    <t>09-03-2025</t>
  </si>
  <si>
    <t>PO-1134</t>
  </si>
  <si>
    <t>INV-2134</t>
  </si>
  <si>
    <t>28-01-2025</t>
  </si>
  <si>
    <t>PO-1135</t>
  </si>
  <si>
    <t>INV-2135</t>
  </si>
  <si>
    <t>14-03-2025</t>
  </si>
  <si>
    <t>PO-1136</t>
  </si>
  <si>
    <t>INV-2136</t>
  </si>
  <si>
    <t>01-07-2025</t>
  </si>
  <si>
    <t>PO-1137</t>
  </si>
  <si>
    <t>INV-2137</t>
  </si>
  <si>
    <t>03-12-2025</t>
  </si>
  <si>
    <t>PO-1138</t>
  </si>
  <si>
    <t>INV-2138</t>
  </si>
  <si>
    <t>PO-1139</t>
  </si>
  <si>
    <t>INV-2139</t>
  </si>
  <si>
    <t>02-09-2025</t>
  </si>
  <si>
    <t>PO-1140</t>
  </si>
  <si>
    <t>INV-2140</t>
  </si>
  <si>
    <t>PO-1141</t>
  </si>
  <si>
    <t>INV-2141</t>
  </si>
  <si>
    <t>PO-1142</t>
  </si>
  <si>
    <t>INV-2142</t>
  </si>
  <si>
    <t>16-06-2025</t>
  </si>
  <si>
    <t>PO-1143</t>
  </si>
  <si>
    <t>INV-2143</t>
  </si>
  <si>
    <t>22-05-2025</t>
  </si>
  <si>
    <t>PO-1144</t>
  </si>
  <si>
    <t>INV-2144</t>
  </si>
  <si>
    <t>04-04-2025</t>
  </si>
  <si>
    <t>PO-1145</t>
  </si>
  <si>
    <t>INV-2145</t>
  </si>
  <si>
    <t>PO-1146</t>
  </si>
  <si>
    <t>INV-2146</t>
  </si>
  <si>
    <t>21-12-2025</t>
  </si>
  <si>
    <t>PO-1147</t>
  </si>
  <si>
    <t>INV-2147</t>
  </si>
  <si>
    <t>20-12-2025</t>
  </si>
  <si>
    <t>PO-1148</t>
  </si>
  <si>
    <t>INV-2148</t>
  </si>
  <si>
    <t>17-07-2025</t>
  </si>
  <si>
    <t>PO-1149</t>
  </si>
  <si>
    <t>INV-2149</t>
  </si>
  <si>
    <t>PO-1150</t>
  </si>
  <si>
    <t>INV-2150</t>
  </si>
  <si>
    <t>PO-1151</t>
  </si>
  <si>
    <t>INV-2151</t>
  </si>
  <si>
    <t>03-06-2025</t>
  </si>
  <si>
    <t>PO-1152</t>
  </si>
  <si>
    <t>INV-2152</t>
  </si>
  <si>
    <t>19-11-2025</t>
  </si>
  <si>
    <t>PO-1153</t>
  </si>
  <si>
    <t>INV-2153</t>
  </si>
  <si>
    <t>PO-1154</t>
  </si>
  <si>
    <t>INV-2154</t>
  </si>
  <si>
    <t>27-12-2025</t>
  </si>
  <si>
    <t>PO-1155</t>
  </si>
  <si>
    <t>INV-2155</t>
  </si>
  <si>
    <t>09-11-2025</t>
  </si>
  <si>
    <t>PO-1156</t>
  </si>
  <si>
    <t>INV-2156</t>
  </si>
  <si>
    <t>16-12-2025</t>
  </si>
  <si>
    <t>PO-1157</t>
  </si>
  <si>
    <t>INV-2157</t>
  </si>
  <si>
    <t>PO-1158</t>
  </si>
  <si>
    <t>INV-2158</t>
  </si>
  <si>
    <t>PO-1159</t>
  </si>
  <si>
    <t>INV-2159</t>
  </si>
  <si>
    <t>22-01-2025</t>
  </si>
  <si>
    <t>PO-1160</t>
  </si>
  <si>
    <t>INV-2160</t>
  </si>
  <si>
    <t>15-06-2025</t>
  </si>
  <si>
    <t>PO-1161</t>
  </si>
  <si>
    <t>INV-2161</t>
  </si>
  <si>
    <t>29-05-2025</t>
  </si>
  <si>
    <t>PO-1162</t>
  </si>
  <si>
    <t>INV-2162</t>
  </si>
  <si>
    <t>PO-1163</t>
  </si>
  <si>
    <t>INV-2163</t>
  </si>
  <si>
    <t>08-02-2025</t>
  </si>
  <si>
    <t>PO-1164</t>
  </si>
  <si>
    <t>INV-2164</t>
  </si>
  <si>
    <t>01-10-2025</t>
  </si>
  <si>
    <t>PO-1165</t>
  </si>
  <si>
    <t>INV-2165</t>
  </si>
  <si>
    <t>25-04-2025</t>
  </si>
  <si>
    <t>PO-1166</t>
  </si>
  <si>
    <t>INV-2166</t>
  </si>
  <si>
    <t>19-02-2025</t>
  </si>
  <si>
    <t>PO-1167</t>
  </si>
  <si>
    <t>INV-2167</t>
  </si>
  <si>
    <t>18-07-2025</t>
  </si>
  <si>
    <t>PO-1168</t>
  </si>
  <si>
    <t>INV-2168</t>
  </si>
  <si>
    <t>PO-1169</t>
  </si>
  <si>
    <t>INV-2169</t>
  </si>
  <si>
    <t>PO-1170</t>
  </si>
  <si>
    <t>INV-2170</t>
  </si>
  <si>
    <t>24-04-2025</t>
  </si>
  <si>
    <t>PO-1171</t>
  </si>
  <si>
    <t>INV-2171</t>
  </si>
  <si>
    <t>04-11-2025</t>
  </si>
  <si>
    <t>PO-1172</t>
  </si>
  <si>
    <t>INV-2172</t>
  </si>
  <si>
    <t>PO-1173</t>
  </si>
  <si>
    <t>INV-2173</t>
  </si>
  <si>
    <t>22-10-2025</t>
  </si>
  <si>
    <t>PO-1174</t>
  </si>
  <si>
    <t>INV-2174</t>
  </si>
  <si>
    <t>PO-1175</t>
  </si>
  <si>
    <t>INV-2175</t>
  </si>
  <si>
    <t>17-02-2025</t>
  </si>
  <si>
    <t>PO-1176</t>
  </si>
  <si>
    <t>INV-2176</t>
  </si>
  <si>
    <t>PO-1177</t>
  </si>
  <si>
    <t>INV-2177</t>
  </si>
  <si>
    <t>19-12-2025</t>
  </si>
  <si>
    <t>PO-1178</t>
  </si>
  <si>
    <t>INV-2178</t>
  </si>
  <si>
    <t>PO-1179</t>
  </si>
  <si>
    <t>INV-2179</t>
  </si>
  <si>
    <t>22-08-2025</t>
  </si>
  <si>
    <t>PO-1180</t>
  </si>
  <si>
    <t>INV-2180</t>
  </si>
  <si>
    <t>23-07-2025</t>
  </si>
  <si>
    <t>PO-1181</t>
  </si>
  <si>
    <t>INV-2181</t>
  </si>
  <si>
    <t>14-05-2025</t>
  </si>
  <si>
    <t>PO-1182</t>
  </si>
  <si>
    <t>INV-2182</t>
  </si>
  <si>
    <t>02-11-2025</t>
  </si>
  <si>
    <t>PO-1183</t>
  </si>
  <si>
    <t>INV-2183</t>
  </si>
  <si>
    <t>PO-1184</t>
  </si>
  <si>
    <t>INV-2184</t>
  </si>
  <si>
    <t>30-10-2025</t>
  </si>
  <si>
    <t>PO-1185</t>
  </si>
  <si>
    <t>INV-2185</t>
  </si>
  <si>
    <t>11-07-2025</t>
  </si>
  <si>
    <t>PO-1186</t>
  </si>
  <si>
    <t>INV-2186</t>
  </si>
  <si>
    <t>20-05-2025</t>
  </si>
  <si>
    <t>PO-1187</t>
  </si>
  <si>
    <t>INV-2187</t>
  </si>
  <si>
    <t>PO-1188</t>
  </si>
  <si>
    <t>INV-2188</t>
  </si>
  <si>
    <t>30-12-2025</t>
  </si>
  <si>
    <t>PO-1189</t>
  </si>
  <si>
    <t>INV-2189</t>
  </si>
  <si>
    <t>23-09-2025</t>
  </si>
  <si>
    <t>PO-1190</t>
  </si>
  <si>
    <t>INV-2190</t>
  </si>
  <si>
    <t>PO-1191</t>
  </si>
  <si>
    <t>INV-2191</t>
  </si>
  <si>
    <t>24-08-2025</t>
  </si>
  <si>
    <t>PO-1192</t>
  </si>
  <si>
    <t>INV-2192</t>
  </si>
  <si>
    <t>07-09-2025</t>
  </si>
  <si>
    <t>PO-1193</t>
  </si>
  <si>
    <t>INV-2193</t>
  </si>
  <si>
    <t>PO-1194</t>
  </si>
  <si>
    <t>INV-2194</t>
  </si>
  <si>
    <t>PO-1195</t>
  </si>
  <si>
    <t>INV-2195</t>
  </si>
  <si>
    <t>PO-1196</t>
  </si>
  <si>
    <t>INV-2196</t>
  </si>
  <si>
    <t>PO-1197</t>
  </si>
  <si>
    <t>INV-2197</t>
  </si>
  <si>
    <t>16-11-2025</t>
  </si>
  <si>
    <t>PO-1198</t>
  </si>
  <si>
    <t>INV-2198</t>
  </si>
  <si>
    <t>PO-1199</t>
  </si>
  <si>
    <t>INV-2199</t>
  </si>
  <si>
    <t>27-09-2025</t>
  </si>
  <si>
    <t>PO-1200</t>
  </si>
  <si>
    <t>INV-2200</t>
  </si>
  <si>
    <t>Vendor-wise Purchase Summary</t>
  </si>
  <si>
    <t>Total Amount</t>
  </si>
  <si>
    <t>Row Labels</t>
  </si>
  <si>
    <t>Grand Total</t>
  </si>
  <si>
    <t>Sum of Amount</t>
  </si>
  <si>
    <t>Count of PO No</t>
  </si>
  <si>
    <t>Vessel Performance</t>
  </si>
  <si>
    <t>Status Summary</t>
  </si>
  <si>
    <t>Category Analysis</t>
  </si>
  <si>
    <t>Monthly Trend</t>
  </si>
  <si>
    <t>Overview of Procurement &amp; Logistics Performance</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</si>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</sst>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7" x14ac:knownFonts="1">
    <font>
      <sz val="11"/>
      <color theme="1"/>
      <name val="Calibri"/>
      <family val="2"/>
      <scheme val="minor"/>
    </font>
    <font>
      <b/>
      <sz val="22"/>
      <name val="Calibri"/>
    </font>
    <font>
      <b/>
      <sz val="11"/>
      <color rgb="FFFFFFFF"/>
      <name val="Calibri"/>
    </font>
    <font>
      <b/>
      <sz val="16"/>
      <name val="Calibri"/>
    </font>
    <font>
      <b/>
      <sz val="11"/>
      <color rgb="FFFFFFFF"/>
      <name val="Calibri"/>
      <family val="2"/>
    </font>
    <font>
      <sz val="16"/>
      <color rgb="FF002060"/>
      <name val="Calibri"/>
      <family val="2"/>
      <scheme val="minor"/>
    </font>
    <font>
      <b/>
      <sz val="22"/>
      <name val="Calibri"/>
      <family val="2"/>
      <scheme val="minor"/>
    </font>
    <font>
      <b/>
      <u/>
      <sz val="22"/>
      <color rgb="FF002060"/>
      <name val="Calibri"/>
      <family val="2"/>
      <scheme val="minor"/>
    </font>
    <font>
      <b/>
      <sz val="14"/>
      <name val="Calibri"/>
      <family val="2"/>
    </font>
    <font>
      <b/>
      <sz val="16"/>
      <color theme="3"/>
      <name val="Calibri"/>
      <family val="2"/>
      <scheme val="minor"/>
    </font>
    <font>
      <b/>
      <sz val="16"/>
      <color theme="9" tint="-0.249977111117893"/>
      <name val="Calibri"/>
      <family val="2"/>
      <scheme val="minor"/>
    </font>
    <font>
      <sz val="16"/>
      <color theme="9" tint="-0.249977111117893"/>
      <name val="Calibri"/>
      <family val="2"/>
      <scheme val="minor"/>
    </font>
    <font>
      <sz val="11"/>
      <color theme="9" tint="-0.249977111117893"/>
      <name val="Calibri"/>
      <family val="2"/>
      <scheme val="minor"/>
    </font>
    <font>
      <b/>
      <sz val="16"/>
      <color rgb="FF00B050"/>
      <name val="Calibri"/>
      <family val="2"/>
      <scheme val="minor"/>
    </font>
    <font>
      <sz val="16"/>
      <color rgb="FF00B050"/>
      <name val="Calibri"/>
      <family val="2"/>
      <scheme val="minor"/>
    </font>
    <font>
      <sz val="11"/>
      <color rgb="FF00B050"/>
      <name val="Calibri"/>
      <family val="2"/>
      <scheme val="minor"/>
    </font>
    <font>
      <b/>
      <sz val="16"/>
      <color theme="5"/>
      <name val="Calibri"/>
      <family val="2"/>
      <scheme val="minor"/>
    </font>
  </fonts>
  <fills count="3">
    <fill>
      <patternFill patternType="none"/>
    </fill>
    <fill>
      <patternFill patternType="gray125"/>
    </fill>
    <fill>
      <patternFill patternType="solid">
        <fgColor rgb="FF1F4E78"/>
        <bgColor rgb="FF1F4E78"/>
      </patternFill>
    </fill>
  </fills>
  <borders count="22">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4">
    <xf numFmtId="0" fontId="0" fillId="0" borderId="0" xfId="0"/>
    <xf numFmtId="0" fontId="1" fillId="0" borderId="0" xfId="0" applyFont="1"/>
    <xf numFmtId="0" fontId="2" fillId="2" borderId="0" xfId="0" applyFont="1" applyFill="1"/>
    <xf numFmtId="0" fontId="2" fillId="2" borderId="1" xfId="0" applyFont="1" applyFill="1"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0" borderId="1" xfId="0" applyBorder="1"/>
    <xf numFmtId="0" fontId="4" fillId="2" borderId="1" xfId="0" applyFont="1" applyFill="1" applyBorder="1"/>
    <xf numFmtId="0" fontId="0" fillId="0" borderId="0" xfId="0" applyAlignment="1">
      <alignment vertical="center"/>
    </xf>
    <xf numFmtId="0" fontId="6" fillId="0" borderId="0" xfId="0" applyFont="1"/>
    <xf numFmtId="0" fontId="8" fillId="0" borderId="0" xfId="0" applyFont="1"/>
    <xf numFmtId="0" fontId="7" fillId="0" borderId="11" xfId="0" applyFont="1" applyBorder="1"/>
    <xf numFmtId="0" fontId="0" fillId="0" borderId="12" xfId="0" applyBorder="1"/>
    <xf numFmtId="0" fontId="0" fillId="0" borderId="13" xfId="0" applyBorder="1"/>
    <xf numFmtId="0" fontId="5" fillId="0" borderId="14" xfId="0" applyFont="1" applyBorder="1" applyAlignment="1">
      <alignment vertical="top"/>
    </xf>
    <xf numFmtId="0" fontId="0" fillId="0" borderId="15" xfId="0" applyBorder="1" applyAlignment="1">
      <alignment vertical="center"/>
    </xf>
    <xf numFmtId="0" fontId="5" fillId="0" borderId="14" xfId="0" applyFont="1" applyBorder="1"/>
    <xf numFmtId="0" fontId="0" fillId="0" borderId="15" xfId="0" applyBorder="1"/>
    <xf numFmtId="0" fontId="0" fillId="0" borderId="14" xfId="0" applyBorder="1"/>
    <xf numFmtId="0" fontId="0" fillId="0" borderId="16" xfId="0" applyBorder="1"/>
    <xf numFmtId="0" fontId="0" fillId="0" borderId="17" xfId="0" applyBorder="1"/>
    <xf numFmtId="0" fontId="0" fillId="0" borderId="18" xfId="0" applyBorder="1"/>
    <xf numFmtId="0" fontId="10" fillId="0" borderId="19" xfId="0" applyFont="1" applyBorder="1" applyAlignment="1">
      <alignment horizontal="center" vertical="center"/>
    </xf>
    <xf numFmtId="0" fontId="11" fillId="0" borderId="20" xfId="0" applyFont="1" applyBorder="1" applyAlignment="1">
      <alignment vertical="center"/>
    </xf>
    <xf numFmtId="0" fontId="11" fillId="0" borderId="21" xfId="0" applyFont="1" applyBorder="1" applyAlignment="1">
      <alignment vertical="center"/>
    </xf>
    <xf numFmtId="0" fontId="12" fillId="0" borderId="20" xfId="0" applyFont="1" applyBorder="1" applyAlignment="1">
      <alignment vertical="center"/>
    </xf>
    <xf numFmtId="0" fontId="12" fillId="0" borderId="21" xfId="0" applyFont="1" applyBorder="1" applyAlignment="1">
      <alignment vertical="center"/>
    </xf>
    <xf numFmtId="0" fontId="16" fillId="0" borderId="19" xfId="0" applyFont="1" applyBorder="1" applyAlignment="1">
      <alignment horizontal="center" vertical="center"/>
    </xf>
    <xf numFmtId="0" fontId="16" fillId="0" borderId="20" xfId="0" applyFont="1" applyBorder="1" applyAlignment="1">
      <alignment horizontal="center" vertical="center"/>
    </xf>
    <xf numFmtId="0" fontId="16" fillId="0" borderId="21"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164" fontId="9" fillId="0" borderId="19" xfId="0" applyNumberFormat="1" applyFont="1" applyBorder="1" applyAlignment="1">
      <alignment horizontal="center" vertical="center"/>
    </xf>
    <xf numFmtId="164" fontId="9" fillId="0" borderId="20" xfId="0" applyNumberFormat="1" applyFont="1" applyBorder="1" applyAlignment="1">
      <alignment horizontal="center" vertical="center"/>
    </xf>
    <xf numFmtId="164" fontId="9" fillId="0" borderId="21" xfId="0" applyNumberFormat="1" applyFont="1" applyBorder="1" applyAlignment="1">
      <alignment horizontal="center" vertical="center"/>
    </xf>
    <xf numFmtId="0" fontId="13" fillId="0" borderId="19" xfId="0" applyFont="1" applyBorder="1" applyAlignment="1">
      <alignment horizontal="center" vertical="center"/>
    </xf>
    <xf numFmtId="0" fontId="14" fillId="0" borderId="20" xfId="0" applyFont="1" applyBorder="1" applyAlignment="1">
      <alignment vertical="center"/>
    </xf>
    <xf numFmtId="0" fontId="14" fillId="0" borderId="21" xfId="0" applyFont="1" applyBorder="1" applyAlignment="1">
      <alignment vertical="center"/>
    </xf>
    <xf numFmtId="0" fontId="15" fillId="0" borderId="20" xfId="0" applyFont="1" applyBorder="1" applyAlignment="1">
      <alignment vertical="center"/>
    </xf>
    <xf numFmtId="0" fontId="15" fillId="0" borderId="21" xfId="0" applyFont="1" applyBorder="1" applyAlignment="1">
      <alignment vertical="center"/>
    </xf>
    <xf numFmtId="0" fontId="3" fillId="0" borderId="0" xfId="0" applyFont="1" applyAlignment="1">
      <alignment horizontal="center"/>
    </xf>
    <xf numFmtId="0" fontId="0" fillId="0" borderId="0" xfId="0"/>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[Final_Maritime_Excel_Project.xlsx]Pivot Summary!PivotTable4</c:name>
    <c:fmtId val="3"/>
  </c:pivotSource>
  <c:chart>
    <c:title>
      <c:tx>
        <c:rich>
          <a:bodyPr rot="0" spcFirstLastPara="1" vertOverflow="ellipsis" vert="horz" wrap="square" anchor="ctr" anchorCtr="1"/>
          <a:lstStyle/>
          <a:p>
            <a:pPr algn="ctr" rtl="0">
              <a:defRPr lang="en-US" sz="1800" b="1" i="0" u="none" strike="noStrike" kern="1200" cap="all" spc="150" baseline="0">
                <a:solidFill>
                  <a:srgbClr val="002060"/>
                </a:solidFill>
                <a:latin typeface="+mn-lt"/>
                <a:ea typeface="+mn-ea"/>
                <a:cs typeface="+mn-cs"/>
              </a:defRPr>
            </a:pPr>
            <a:r>
              <a:rPr lang="en-US" sz="1800" b="1" i="0" u="none" strike="noStrike" kern="1200" cap="all" spc="150" baseline="0">
                <a:solidFill>
                  <a:srgbClr val="002060"/>
                </a:solidFill>
                <a:latin typeface="+mn-lt"/>
                <a:ea typeface="+mn-ea"/>
                <a:cs typeface="+mn-cs"/>
              </a:rPr>
              <a:t>Status Summary</a:t>
            </a:r>
          </a:p>
        </c:rich>
      </c:tx>
      <c:layout>
        <c:manualLayout>
          <c:xMode val="edge"/>
          <c:yMode val="edge"/>
          <c:x val="0.31040974021424544"/>
          <c:y val="5.983913117858386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lgn="ctr" rtl="0">
            <a:defRPr lang="en-US" sz="1800" b="1" i="0" u="none" strike="noStrike" kern="1200" cap="all" spc="150" baseline="0">
              <a:solidFill>
                <a:srgbClr val="002060"/>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394957121301971"/>
          <c:y val="0.28530066306034202"/>
          <c:w val="0.30147068914334335"/>
          <c:h val="0.6155463021407882"/>
        </c:manualLayout>
      </c:layout>
      <c:doughnutChart>
        <c:varyColors val="1"/>
        <c:ser>
          <c:idx val="0"/>
          <c:order val="0"/>
          <c:tx>
            <c:strRef>
              <c:f>'Pivot Summary'!$P$23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D17-488D-BAC4-1C45EED4A34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D17-488D-BAC4-1C45EED4A34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D17-488D-BAC4-1C45EED4A340}"/>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17-488D-BAC4-1C45EED4A340}"/>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17-488D-BAC4-1C45EED4A340}"/>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D17-488D-BAC4-1C45EED4A340}"/>
                </c:ext>
              </c:extLst>
            </c:dLbl>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Summary'!$O$24:$O$27</c:f>
              <c:strCache>
                <c:ptCount val="3"/>
                <c:pt idx="0">
                  <c:v>Delivered</c:v>
                </c:pt>
                <c:pt idx="1">
                  <c:v>In Transit</c:v>
                </c:pt>
                <c:pt idx="2">
                  <c:v>Pending</c:v>
                </c:pt>
              </c:strCache>
            </c:strRef>
          </c:cat>
          <c:val>
            <c:numRef>
              <c:f>'Pivot Summary'!$P$24:$P$27</c:f>
              <c:numCache>
                <c:formatCode>General</c:formatCode>
                <c:ptCount val="3"/>
                <c:pt idx="0">
                  <c:v>55</c:v>
                </c:pt>
                <c:pt idx="1">
                  <c:v>62</c:v>
                </c:pt>
                <c:pt idx="2">
                  <c:v>83</c:v>
                </c:pt>
              </c:numCache>
            </c:numRef>
          </c:val>
          <c:extLst>
            <c:ext xmlns:c16="http://schemas.microsoft.com/office/drawing/2014/chart" uri="{C3380CC4-5D6E-409C-BE32-E72D297353CC}">
              <c16:uniqueId val="{00000006-ED17-488D-BAC4-1C45EED4A34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[Final_Maritime_Excel_Project.xlsx]Pivot Summary!PivotTable5</c:name>
    <c:fmtId val="3"/>
  </c:pivotSource>
  <c:chart>
    <c:title>
      <c:tx>
        <c:rich>
          <a:bodyPr rot="0" spcFirstLastPara="1" vertOverflow="ellipsis" vert="horz" wrap="square" anchor="ctr" anchorCtr="1"/>
          <a:lstStyle/>
          <a:p>
            <a:pPr algn="ctr" rtl="0">
              <a:defRPr lang="en-US" sz="1800" b="1" i="0" u="none" strike="noStrike" kern="1200" cap="all" spc="150" baseline="0">
                <a:solidFill>
                  <a:srgbClr val="002060"/>
                </a:solidFill>
                <a:latin typeface="+mn-lt"/>
                <a:ea typeface="+mn-ea"/>
                <a:cs typeface="+mn-cs"/>
              </a:defRPr>
            </a:pPr>
            <a:r>
              <a:rPr lang="en-US" sz="1800" b="1" i="0" u="none" strike="noStrike" kern="1200" cap="all" spc="150" baseline="0">
                <a:solidFill>
                  <a:srgbClr val="002060"/>
                </a:solidFill>
                <a:latin typeface="+mn-lt"/>
                <a:ea typeface="+mn-ea"/>
                <a:cs typeface="+mn-cs"/>
              </a:rPr>
              <a:t>Vessel Performance</a:t>
            </a:r>
          </a:p>
        </c:rich>
      </c:tx>
      <c:layout>
        <c:manualLayout>
          <c:xMode val="edge"/>
          <c:yMode val="edge"/>
          <c:x val="0.27686193514276408"/>
          <c:y val="3.4419713803610114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lgn="ctr" rtl="0">
            <a:defRPr lang="en-US" sz="1800" b="1" i="0" u="none" strike="noStrike" kern="1200" cap="all" spc="150" baseline="0">
              <a:solidFill>
                <a:srgbClr val="002060"/>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Summary'!$P$45</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Summary'!$O$46:$O$51</c:f>
              <c:strCache>
                <c:ptCount val="5"/>
                <c:pt idx="0">
                  <c:v>AM LEGEND</c:v>
                </c:pt>
                <c:pt idx="1">
                  <c:v>AM PEARL</c:v>
                </c:pt>
                <c:pt idx="2">
                  <c:v>AM POWER</c:v>
                </c:pt>
                <c:pt idx="3">
                  <c:v>AM PRECIOUS</c:v>
                </c:pt>
                <c:pt idx="4">
                  <c:v>AM STAR</c:v>
                </c:pt>
              </c:strCache>
            </c:strRef>
          </c:cat>
          <c:val>
            <c:numRef>
              <c:f>'Pivot Summary'!$P$46:$P$51</c:f>
              <c:numCache>
                <c:formatCode>General</c:formatCode>
                <c:ptCount val="5"/>
                <c:pt idx="0">
                  <c:v>6761017</c:v>
                </c:pt>
                <c:pt idx="1">
                  <c:v>4346834</c:v>
                </c:pt>
                <c:pt idx="2">
                  <c:v>4389084</c:v>
                </c:pt>
                <c:pt idx="3">
                  <c:v>3770394</c:v>
                </c:pt>
                <c:pt idx="4">
                  <c:v>6790814</c:v>
                </c:pt>
              </c:numCache>
            </c:numRef>
          </c:val>
          <c:smooth val="0"/>
          <c:extLst>
            <c:ext xmlns:c16="http://schemas.microsoft.com/office/drawing/2014/chart" uri="{C3380CC4-5D6E-409C-BE32-E72D297353CC}">
              <c16:uniqueId val="{00000000-BD39-4D28-9ABA-A1B5ACB9AC79}"/>
            </c:ext>
          </c:extLst>
        </c:ser>
        <c:dLbls>
          <c:showLegendKey val="0"/>
          <c:showVal val="1"/>
          <c:showCatName val="0"/>
          <c:showSerName val="0"/>
          <c:showPercent val="0"/>
          <c:showBubbleSize val="0"/>
        </c:dLbls>
        <c:smooth val="0"/>
        <c:axId val="1430955775"/>
        <c:axId val="1430960575"/>
      </c:lineChart>
      <c:catAx>
        <c:axId val="14309557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430960575"/>
        <c:crosses val="autoZero"/>
        <c:auto val="1"/>
        <c:lblAlgn val="ctr"/>
        <c:lblOffset val="100"/>
        <c:noMultiLvlLbl val="0"/>
      </c:catAx>
      <c:valAx>
        <c:axId val="1430960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43095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[Final_Maritime_Excel_Project.xlsx]Pivot Summary!PivotTable3</c:name>
    <c:fmtId val="3"/>
  </c:pivotSource>
  <c:chart>
    <c:title>
      <c:tx>
        <c:rich>
          <a:bodyPr rot="0" spcFirstLastPara="1" vertOverflow="ellipsis" vert="horz" wrap="square" anchor="ctr" anchorCtr="1"/>
          <a:lstStyle/>
          <a:p>
            <a:pPr algn="ctr" rtl="0">
              <a:defRPr lang="en-US" sz="1800" b="1" i="0" u="none" strike="noStrike" kern="1200" cap="all" spc="150" baseline="0">
                <a:solidFill>
                  <a:srgbClr val="002060"/>
                </a:solidFill>
                <a:latin typeface="+mn-lt"/>
                <a:ea typeface="+mn-ea"/>
                <a:cs typeface="+mn-cs"/>
              </a:defRPr>
            </a:pPr>
            <a:r>
              <a:rPr lang="en-US" sz="1800" b="1" i="0" u="none" strike="noStrike" kern="1200" cap="all" spc="150" baseline="0">
                <a:solidFill>
                  <a:srgbClr val="002060"/>
                </a:solidFill>
                <a:latin typeface="+mn-lt"/>
                <a:ea typeface="+mn-ea"/>
                <a:cs typeface="+mn-cs"/>
              </a:rPr>
              <a:t>Category Analysis</a:t>
            </a:r>
          </a:p>
        </c:rich>
      </c:tx>
      <c:layout>
        <c:manualLayout>
          <c:xMode val="edge"/>
          <c:yMode val="edge"/>
          <c:x val="0.32571056678184152"/>
          <c:y val="3.9448516295620836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lgn="ctr" rtl="0">
            <a:defRPr lang="en-US" sz="1800" b="1" i="0" u="none" strike="noStrike" kern="1200" cap="all" spc="15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5108403375256005"/>
          <c:y val="0.18722459880601447"/>
          <c:w val="0.28547631266525081"/>
          <c:h val="0.71354729114397308"/>
        </c:manualLayout>
      </c:layout>
      <c:doughnutChart>
        <c:varyColors val="1"/>
        <c:ser>
          <c:idx val="0"/>
          <c:order val="0"/>
          <c:tx>
            <c:strRef>
              <c:f>'Pivot Summary'!$P$2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79-4EC9-A045-07A7692D0F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79-4EC9-A045-07A7692D0F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79-4EC9-A045-07A7692D0F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79-4EC9-A045-07A7692D0F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779-4EC9-A045-07A7692D0F65}"/>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Summary'!$O$3:$O$8</c:f>
              <c:strCache>
                <c:ptCount val="5"/>
                <c:pt idx="0">
                  <c:v>Deck Stores</c:v>
                </c:pt>
                <c:pt idx="1">
                  <c:v>Electrical</c:v>
                </c:pt>
                <c:pt idx="2">
                  <c:v>Engine Spares</c:v>
                </c:pt>
                <c:pt idx="3">
                  <c:v>Lube Oil</c:v>
                </c:pt>
                <c:pt idx="4">
                  <c:v>Safety Items</c:v>
                </c:pt>
              </c:strCache>
            </c:strRef>
          </c:cat>
          <c:val>
            <c:numRef>
              <c:f>'Pivot Summary'!$P$3:$P$8</c:f>
              <c:numCache>
                <c:formatCode>General</c:formatCode>
                <c:ptCount val="5"/>
                <c:pt idx="0">
                  <c:v>6084811</c:v>
                </c:pt>
                <c:pt idx="1">
                  <c:v>4521559</c:v>
                </c:pt>
                <c:pt idx="2">
                  <c:v>4704346</c:v>
                </c:pt>
                <c:pt idx="3">
                  <c:v>5514831</c:v>
                </c:pt>
                <c:pt idx="4">
                  <c:v>5232596</c:v>
                </c:pt>
              </c:numCache>
            </c:numRef>
          </c:val>
          <c:extLst>
            <c:ext xmlns:c16="http://schemas.microsoft.com/office/drawing/2014/chart" uri="{C3380CC4-5D6E-409C-BE32-E72D297353CC}">
              <c16:uniqueId val="{0000000A-F779-4EC9-A045-07A7692D0F65}"/>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rgbClr val="002060"/>
                </a:solidFill>
                <a:latin typeface="+mn-lt"/>
                <a:ea typeface="+mn-ea"/>
                <a:cs typeface="+mn-cs"/>
              </a:defRPr>
            </a:pPr>
            <a:r>
              <a:rPr lang="en-IN">
                <a:solidFill>
                  <a:srgbClr val="002060"/>
                </a:solidFill>
              </a:rPr>
              <a:t>Vendor Purchase Trend</a:t>
            </a:r>
          </a:p>
        </c:rich>
      </c:tx>
      <c:overlay val="1"/>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800" b="1" i="0" u="none" strike="noStrike" kern="1200" cap="all" spc="150" baseline="0">
              <a:solidFill>
                <a:srgbClr val="002060"/>
              </a:solidFill>
              <a:latin typeface="+mn-lt"/>
              <a:ea typeface="+mn-ea"/>
              <a:cs typeface="+mn-cs"/>
            </a:defRPr>
          </a:pPr>
          <a:endParaRPr lang="en-US"/>
        </a:p>
      </c:txPr>
    </c:title>
    <c:autoTitleDeleted val="0"/>
    <c:plotArea>
      <c:layout>
        <c:manualLayout>
          <c:layoutTarget val="inner"/>
          <c:xMode val="edge"/>
          <c:yMode val="edge"/>
          <c:x val="0.15805942562911082"/>
          <c:y val="0.21145160285043524"/>
          <c:w val="0.75241225143467239"/>
          <c:h val="0.6228901822054852"/>
        </c:manualLayout>
      </c:layout>
      <c:barChart>
        <c:barDir val="col"/>
        <c:grouping val="clustered"/>
        <c:varyColors val="1"/>
        <c:ser>
          <c:idx val="0"/>
          <c:order val="0"/>
          <c:tx>
            <c:strRef>
              <c:f>'Pivot Summary'!$B$3</c:f>
              <c:strCache>
                <c:ptCount val="1"/>
                <c:pt idx="0">
                  <c:v>Total Amount</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142-4CD4-8DA1-44BA1317E90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142-4CD4-8DA1-44BA1317E90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F142-4CD4-8DA1-44BA1317E90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F142-4CD4-8DA1-44BA1317E903}"/>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F142-4CD4-8DA1-44BA1317E903}"/>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Summary'!$A$4:$A$8</c:f>
              <c:strCache>
                <c:ptCount val="5"/>
                <c:pt idx="0">
                  <c:v>DRS Marine</c:v>
                </c:pt>
                <c:pt idx="1">
                  <c:v>Lynx Marine</c:v>
                </c:pt>
                <c:pt idx="2">
                  <c:v>Mars Petrochem</c:v>
                </c:pt>
                <c:pt idx="3">
                  <c:v>Ocean Supply</c:v>
                </c:pt>
                <c:pt idx="4">
                  <c:v>Raj Industries</c:v>
                </c:pt>
              </c:strCache>
            </c:strRef>
          </c:cat>
          <c:val>
            <c:numRef>
              <c:f>'Pivot Summary'!$B$4:$B$8</c:f>
              <c:numCache>
                <c:formatCode>General</c:formatCode>
                <c:ptCount val="5"/>
                <c:pt idx="0">
                  <c:v>3359457</c:v>
                </c:pt>
                <c:pt idx="1">
                  <c:v>5350625</c:v>
                </c:pt>
                <c:pt idx="2">
                  <c:v>5307104</c:v>
                </c:pt>
                <c:pt idx="3">
                  <c:v>6853771</c:v>
                </c:pt>
                <c:pt idx="4">
                  <c:v>5187186</c:v>
                </c:pt>
              </c:numCache>
            </c:numRef>
          </c:val>
          <c:extLst>
            <c:ext xmlns:c16="http://schemas.microsoft.com/office/drawing/2014/chart" uri="{C3380CC4-5D6E-409C-BE32-E72D297353CC}">
              <c16:uniqueId val="{0000000A-F142-4CD4-8DA1-44BA1317E903}"/>
            </c:ext>
          </c:extLst>
        </c:ser>
        <c:dLbls>
          <c:dLblPos val="outEnd"/>
          <c:showLegendKey val="0"/>
          <c:showVal val="1"/>
          <c:showCatName val="0"/>
          <c:showSerName val="0"/>
          <c:showPercent val="0"/>
          <c:showBubbleSize val="0"/>
        </c:dLbls>
        <c:gapWidth val="199"/>
        <c:axId val="10"/>
        <c:axId val="100"/>
      </c:barChart>
      <c:catAx>
        <c:axId val="10"/>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0" cap="sq" cmpd="sng" algn="ctr">
      <a:solidFill>
        <a:schemeClr val="bg1">
          <a:lumMod val="85000"/>
        </a:schemeClr>
      </a:solidFill>
      <a:beve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Vendor Purchase Trend</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1"/>
        <c:ser>
          <c:idx val="0"/>
          <c:order val="0"/>
          <c:tx>
            <c:strRef>
              <c:f>'Pivot Summary'!$B$3</c:f>
              <c:strCache>
                <c:ptCount val="1"/>
                <c:pt idx="0">
                  <c:v>Total Amount</c:v>
                </c:pt>
              </c:strCache>
            </c:strRef>
          </c:tx>
          <c:marker>
            <c:symbol val="none"/>
          </c:marker>
          <c:dPt>
            <c:idx val="0"/>
            <c:marker>
              <c:symbol val="none"/>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38E1-43FB-BD87-4A2D3551C141}"/>
              </c:ext>
            </c:extLst>
          </c:dPt>
          <c:dPt>
            <c:idx val="1"/>
            <c:marker>
              <c:symbol val="none"/>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38E1-43FB-BD87-4A2D3551C141}"/>
              </c:ext>
            </c:extLst>
          </c:dPt>
          <c:dPt>
            <c:idx val="2"/>
            <c:marker>
              <c:symbol val="none"/>
            </c:marker>
            <c:bubble3D val="0"/>
            <c:spPr>
              <a:ln w="34925" cap="rnd">
                <a:solidFill>
                  <a:schemeClr val="accent3"/>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38E1-43FB-BD87-4A2D3551C141}"/>
              </c:ext>
            </c:extLst>
          </c:dPt>
          <c:dPt>
            <c:idx val="3"/>
            <c:marker>
              <c:symbol val="none"/>
            </c:marker>
            <c:bubble3D val="0"/>
            <c:spPr>
              <a:ln w="34925" cap="rnd">
                <a:solidFill>
                  <a:schemeClr val="accent4"/>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38E1-43FB-BD87-4A2D3551C141}"/>
              </c:ext>
            </c:extLst>
          </c:dPt>
          <c:dPt>
            <c:idx val="4"/>
            <c:marker>
              <c:symbol val="none"/>
            </c:marker>
            <c:bubble3D val="0"/>
            <c:spPr>
              <a:ln w="34925" cap="rnd">
                <a:solidFill>
                  <a:schemeClr val="accent5"/>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38E1-43FB-BD87-4A2D3551C141}"/>
              </c:ext>
            </c:extLst>
          </c:dPt>
          <c:cat>
            <c:strRef>
              <c:f>'Pivot Summary'!$A$4:$A$8</c:f>
              <c:strCache>
                <c:ptCount val="5"/>
                <c:pt idx="0">
                  <c:v>DRS Marine</c:v>
                </c:pt>
                <c:pt idx="1">
                  <c:v>Lynx Marine</c:v>
                </c:pt>
                <c:pt idx="2">
                  <c:v>Mars Petrochem</c:v>
                </c:pt>
                <c:pt idx="3">
                  <c:v>Ocean Supply</c:v>
                </c:pt>
                <c:pt idx="4">
                  <c:v>Raj Industries</c:v>
                </c:pt>
              </c:strCache>
            </c:strRef>
          </c:cat>
          <c:val>
            <c:numRef>
              <c:f>'Pivot Summary'!$B$4:$B$8</c:f>
              <c:numCache>
                <c:formatCode>General</c:formatCode>
                <c:ptCount val="5"/>
                <c:pt idx="0">
                  <c:v>3359457</c:v>
                </c:pt>
                <c:pt idx="1">
                  <c:v>5350625</c:v>
                </c:pt>
                <c:pt idx="2">
                  <c:v>5307104</c:v>
                </c:pt>
                <c:pt idx="3">
                  <c:v>6853771</c:v>
                </c:pt>
                <c:pt idx="4">
                  <c:v>5187186</c:v>
                </c:pt>
              </c:numCache>
            </c:numRef>
          </c:val>
          <c:smooth val="1"/>
          <c:extLst>
            <c:ext xmlns:c16="http://schemas.microsoft.com/office/drawing/2014/chart" uri="{C3380CC4-5D6E-409C-BE32-E72D297353CC}">
              <c16:uniqueId val="{00000000-16FD-4E01-B53D-9A218BD8B9FF}"/>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[Final_Maritime_Excel_Project.xlsx]Pivot Summary!PivotTable3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Summary'!$P$2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DE6-4E4B-BEE3-739A02701F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DE6-4E4B-BEE3-739A02701FB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DE6-4E4B-BEE3-739A02701FB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DE6-4E4B-BEE3-739A02701FB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DE6-4E4B-BEE3-739A02701FB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Summary'!$O$3:$O$8</c:f>
              <c:strCache>
                <c:ptCount val="5"/>
                <c:pt idx="0">
                  <c:v>Deck Stores</c:v>
                </c:pt>
                <c:pt idx="1">
                  <c:v>Electrical</c:v>
                </c:pt>
                <c:pt idx="2">
                  <c:v>Engine Spares</c:v>
                </c:pt>
                <c:pt idx="3">
                  <c:v>Lube Oil</c:v>
                </c:pt>
                <c:pt idx="4">
                  <c:v>Safety Items</c:v>
                </c:pt>
              </c:strCache>
            </c:strRef>
          </c:cat>
          <c:val>
            <c:numRef>
              <c:f>'Pivot Summary'!$P$3:$P$8</c:f>
              <c:numCache>
                <c:formatCode>General</c:formatCode>
                <c:ptCount val="5"/>
                <c:pt idx="0">
                  <c:v>6084811</c:v>
                </c:pt>
                <c:pt idx="1">
                  <c:v>4521559</c:v>
                </c:pt>
                <c:pt idx="2">
                  <c:v>4704346</c:v>
                </c:pt>
                <c:pt idx="3">
                  <c:v>5514831</c:v>
                </c:pt>
                <c:pt idx="4">
                  <c:v>5232596</c:v>
                </c:pt>
              </c:numCache>
            </c:numRef>
          </c:val>
          <c:extLst>
            <c:ext xmlns:c16="http://schemas.microsoft.com/office/drawing/2014/chart" uri="{C3380CC4-5D6E-409C-BE32-E72D297353CC}">
              <c16:uniqueId val="{00000000-81B0-42D9-B896-DAEBC991259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[Final_Maritime_Excel_Project.xlsx]Pivot Summary!PivotTable4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Status Summary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'Pivot Summary'!$P$23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8EC4-431E-8713-A25C7CFA930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8EC4-431E-8713-A25C7CFA930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8EC4-431E-8713-A25C7CFA93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Summary'!$O$24:$O$27</c:f>
              <c:strCache>
                <c:ptCount val="3"/>
                <c:pt idx="0">
                  <c:v>Delivered</c:v>
                </c:pt>
                <c:pt idx="1">
                  <c:v>In Transit</c:v>
                </c:pt>
                <c:pt idx="2">
                  <c:v>Pending</c:v>
                </c:pt>
              </c:strCache>
            </c:strRef>
          </c:cat>
          <c:val>
            <c:numRef>
              <c:f>'Pivot Summary'!$P$24:$P$27</c:f>
              <c:numCache>
                <c:formatCode>General</c:formatCode>
                <c:ptCount val="3"/>
                <c:pt idx="0">
                  <c:v>55</c:v>
                </c:pt>
                <c:pt idx="1">
                  <c:v>62</c:v>
                </c:pt>
                <c:pt idx="2">
                  <c:v>83</c:v>
                </c:pt>
              </c:numCache>
            </c:numRef>
          </c:val>
          <c:extLst>
            <c:ext xmlns:c16="http://schemas.microsoft.com/office/drawing/2014/chart" uri="{C3380CC4-5D6E-409C-BE32-E72D297353CC}">
              <c16:uniqueId val="{00000000-A030-4087-B6DB-5D07DD96F7F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[Final_Maritime_Excel_Project.xlsx]Pivot Summary!PivotTable5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Vessel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Summary'!$P$45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Summary'!$O$46:$O$51</c:f>
              <c:strCache>
                <c:ptCount val="5"/>
                <c:pt idx="0">
                  <c:v>AM LEGEND</c:v>
                </c:pt>
                <c:pt idx="1">
                  <c:v>AM PEARL</c:v>
                </c:pt>
                <c:pt idx="2">
                  <c:v>AM POWER</c:v>
                </c:pt>
                <c:pt idx="3">
                  <c:v>AM PRECIOUS</c:v>
                </c:pt>
                <c:pt idx="4">
                  <c:v>AM STAR</c:v>
                </c:pt>
              </c:strCache>
            </c:strRef>
          </c:cat>
          <c:val>
            <c:numRef>
              <c:f>'Pivot Summary'!$P$46:$P$51</c:f>
              <c:numCache>
                <c:formatCode>General</c:formatCode>
                <c:ptCount val="5"/>
                <c:pt idx="0">
                  <c:v>6761017</c:v>
                </c:pt>
                <c:pt idx="1">
                  <c:v>4346834</c:v>
                </c:pt>
                <c:pt idx="2">
                  <c:v>4389084</c:v>
                </c:pt>
                <c:pt idx="3">
                  <c:v>3770394</c:v>
                </c:pt>
                <c:pt idx="4">
                  <c:v>6790814</c:v>
                </c:pt>
              </c:numCache>
            </c:numRef>
          </c:val>
          <c:extLst>
            <c:ext xmlns:c16="http://schemas.microsoft.com/office/drawing/2014/chart" uri="{C3380CC4-5D6E-409C-BE32-E72D297353CC}">
              <c16:uniqueId val="{00000000-7265-4FD5-ACF0-B40E6FBF7CB6}"/>
            </c:ext>
          </c:extLst>
        </c:ser>
        <c:dLbls>
          <c:dLblPos val="outEnd"/>
          <c:showLegendKey val="0"/>
          <c:showVal val="1"/>
          <c:showCatName val="0"/>
          <c:showSerName val="0"/>
          <c:showPercent val="0"/>
          <c:showBubbleSize val="0"/>
        </c:dLbls>
        <c:gapWidth val="100"/>
        <c:overlap val="-24"/>
        <c:axId val="1430955775"/>
        <c:axId val="1430960575"/>
      </c:barChart>
      <c:catAx>
        <c:axId val="14309557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0960575"/>
        <c:crosses val="autoZero"/>
        <c:auto val="1"/>
        <c:lblAlgn val="ctr"/>
        <c:lblOffset val="100"/>
        <c:noMultiLvlLbl val="0"/>
      </c:catAx>
      <c:valAx>
        <c:axId val="143096057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095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[Final_Maritime_Excel_Project.xlsx]Pivot Summary!PivotTable2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Summary'!$B$19</c:f>
              <c:strCache>
                <c:ptCount val="1"/>
                <c:pt idx="0">
                  <c:v>Total</c:v>
                </c:pt>
              </c:strCache>
            </c:strRef>
          </c:tx>
          <c:spPr>
            <a:solidFill>
              <a:schemeClr val="accent1"/>
            </a:solidFill>
            <a:ln>
              <a:noFill/>
            </a:ln>
            <a:effectLst/>
          </c:spPr>
          <c:invertIfNegative val="0"/>
          <c:cat>
            <c:strRef>
              <c:f>'Pivot Summary'!$A$20:$A$176</c:f>
              <c:strCache>
                <c:ptCount val="156"/>
                <c:pt idx="0">
                  <c:v>01-02-2025</c:v>
                </c:pt>
                <c:pt idx="1">
                  <c:v>01-04-2025</c:v>
                </c:pt>
                <c:pt idx="2">
                  <c:v>01-07-2025</c:v>
                </c:pt>
                <c:pt idx="3">
                  <c:v>01-08-2025</c:v>
                </c:pt>
                <c:pt idx="4">
                  <c:v>01-09-2025</c:v>
                </c:pt>
                <c:pt idx="5">
                  <c:v>01-10-2025</c:v>
                </c:pt>
                <c:pt idx="6">
                  <c:v>02-04-2025</c:v>
                </c:pt>
                <c:pt idx="7">
                  <c:v>02-09-2025</c:v>
                </c:pt>
                <c:pt idx="8">
                  <c:v>02-11-2025</c:v>
                </c:pt>
                <c:pt idx="9">
                  <c:v>03-01-2025</c:v>
                </c:pt>
                <c:pt idx="10">
                  <c:v>03-05-2025</c:v>
                </c:pt>
                <c:pt idx="11">
                  <c:v>03-06-2025</c:v>
                </c:pt>
                <c:pt idx="12">
                  <c:v>03-07-2025</c:v>
                </c:pt>
                <c:pt idx="13">
                  <c:v>03-08-2025</c:v>
                </c:pt>
                <c:pt idx="14">
                  <c:v>03-09-2025</c:v>
                </c:pt>
                <c:pt idx="15">
                  <c:v>03-12-2025</c:v>
                </c:pt>
                <c:pt idx="16">
                  <c:v>04-01-2025</c:v>
                </c:pt>
                <c:pt idx="17">
                  <c:v>04-02-2025</c:v>
                </c:pt>
                <c:pt idx="18">
                  <c:v>04-04-2025</c:v>
                </c:pt>
                <c:pt idx="19">
                  <c:v>04-07-2025</c:v>
                </c:pt>
                <c:pt idx="20">
                  <c:v>04-08-2025</c:v>
                </c:pt>
                <c:pt idx="21">
                  <c:v>04-11-2025</c:v>
                </c:pt>
                <c:pt idx="22">
                  <c:v>05-01-2025</c:v>
                </c:pt>
                <c:pt idx="23">
                  <c:v>05-04-2025</c:v>
                </c:pt>
                <c:pt idx="24">
                  <c:v>05-08-2025</c:v>
                </c:pt>
                <c:pt idx="25">
                  <c:v>05-10-2025</c:v>
                </c:pt>
                <c:pt idx="26">
                  <c:v>05-11-2025</c:v>
                </c:pt>
                <c:pt idx="27">
                  <c:v>06-01-2025</c:v>
                </c:pt>
                <c:pt idx="28">
                  <c:v>06-07-2025</c:v>
                </c:pt>
                <c:pt idx="29">
                  <c:v>07-01-2025</c:v>
                </c:pt>
                <c:pt idx="30">
                  <c:v>07-03-2025</c:v>
                </c:pt>
                <c:pt idx="31">
                  <c:v>07-06-2025</c:v>
                </c:pt>
                <c:pt idx="32">
                  <c:v>07-07-2025</c:v>
                </c:pt>
                <c:pt idx="33">
                  <c:v>07-09-2025</c:v>
                </c:pt>
                <c:pt idx="34">
                  <c:v>07-10-2025</c:v>
                </c:pt>
                <c:pt idx="35">
                  <c:v>07-12-2025</c:v>
                </c:pt>
                <c:pt idx="36">
                  <c:v>08-02-2025</c:v>
                </c:pt>
                <c:pt idx="37">
                  <c:v>08-06-2025</c:v>
                </c:pt>
                <c:pt idx="38">
                  <c:v>08-10-2025</c:v>
                </c:pt>
                <c:pt idx="39">
                  <c:v>09-02-2025</c:v>
                </c:pt>
                <c:pt idx="40">
                  <c:v>09-03-2025</c:v>
                </c:pt>
                <c:pt idx="41">
                  <c:v>09-07-2025</c:v>
                </c:pt>
                <c:pt idx="42">
                  <c:v>09-09-2025</c:v>
                </c:pt>
                <c:pt idx="43">
                  <c:v>09-11-2025</c:v>
                </c:pt>
                <c:pt idx="44">
                  <c:v>10-03-2025</c:v>
                </c:pt>
                <c:pt idx="45">
                  <c:v>10-10-2025</c:v>
                </c:pt>
                <c:pt idx="46">
                  <c:v>10-11-2025</c:v>
                </c:pt>
                <c:pt idx="47">
                  <c:v>11-01-2025</c:v>
                </c:pt>
                <c:pt idx="48">
                  <c:v>11-06-2025</c:v>
                </c:pt>
                <c:pt idx="49">
                  <c:v>11-07-2025</c:v>
                </c:pt>
                <c:pt idx="50">
                  <c:v>11-08-2025</c:v>
                </c:pt>
                <c:pt idx="51">
                  <c:v>12-03-2025</c:v>
                </c:pt>
                <c:pt idx="52">
                  <c:v>12-04-2025</c:v>
                </c:pt>
                <c:pt idx="53">
                  <c:v>12-05-2025</c:v>
                </c:pt>
                <c:pt idx="54">
                  <c:v>12-09-2025</c:v>
                </c:pt>
                <c:pt idx="55">
                  <c:v>13-02-2025</c:v>
                </c:pt>
                <c:pt idx="56">
                  <c:v>13-03-2025</c:v>
                </c:pt>
                <c:pt idx="57">
                  <c:v>13-07-2025</c:v>
                </c:pt>
                <c:pt idx="58">
                  <c:v>13-11-2025</c:v>
                </c:pt>
                <c:pt idx="59">
                  <c:v>13-12-2025</c:v>
                </c:pt>
                <c:pt idx="60">
                  <c:v>14-01-2025</c:v>
                </c:pt>
                <c:pt idx="61">
                  <c:v>14-02-2025</c:v>
                </c:pt>
                <c:pt idx="62">
                  <c:v>14-03-2025</c:v>
                </c:pt>
                <c:pt idx="63">
                  <c:v>14-05-2025</c:v>
                </c:pt>
                <c:pt idx="64">
                  <c:v>14-10-2025</c:v>
                </c:pt>
                <c:pt idx="65">
                  <c:v>14-12-2025</c:v>
                </c:pt>
                <c:pt idx="66">
                  <c:v>15-04-2025</c:v>
                </c:pt>
                <c:pt idx="67">
                  <c:v>15-05-2025</c:v>
                </c:pt>
                <c:pt idx="68">
                  <c:v>15-06-2025</c:v>
                </c:pt>
                <c:pt idx="69">
                  <c:v>15-10-2025</c:v>
                </c:pt>
                <c:pt idx="70">
                  <c:v>16-03-2025</c:v>
                </c:pt>
                <c:pt idx="71">
                  <c:v>16-06-2025</c:v>
                </c:pt>
                <c:pt idx="72">
                  <c:v>16-10-2025</c:v>
                </c:pt>
                <c:pt idx="73">
                  <c:v>16-11-2025</c:v>
                </c:pt>
                <c:pt idx="74">
                  <c:v>16-12-2025</c:v>
                </c:pt>
                <c:pt idx="75">
                  <c:v>17-01-2025</c:v>
                </c:pt>
                <c:pt idx="76">
                  <c:v>17-02-2025</c:v>
                </c:pt>
                <c:pt idx="77">
                  <c:v>17-07-2025</c:v>
                </c:pt>
                <c:pt idx="78">
                  <c:v>17-08-2025</c:v>
                </c:pt>
                <c:pt idx="79">
                  <c:v>17-09-2025</c:v>
                </c:pt>
                <c:pt idx="80">
                  <c:v>17-10-2025</c:v>
                </c:pt>
                <c:pt idx="81">
                  <c:v>18-02-2025</c:v>
                </c:pt>
                <c:pt idx="82">
                  <c:v>18-03-2025</c:v>
                </c:pt>
                <c:pt idx="83">
                  <c:v>18-07-2025</c:v>
                </c:pt>
                <c:pt idx="84">
                  <c:v>18-08-2025</c:v>
                </c:pt>
                <c:pt idx="85">
                  <c:v>18-09-2025</c:v>
                </c:pt>
                <c:pt idx="86">
                  <c:v>18-12-2025</c:v>
                </c:pt>
                <c:pt idx="87">
                  <c:v>19-02-2025</c:v>
                </c:pt>
                <c:pt idx="88">
                  <c:v>19-06-2025</c:v>
                </c:pt>
                <c:pt idx="89">
                  <c:v>19-07-2025</c:v>
                </c:pt>
                <c:pt idx="90">
                  <c:v>19-10-2025</c:v>
                </c:pt>
                <c:pt idx="91">
                  <c:v>19-11-2025</c:v>
                </c:pt>
                <c:pt idx="92">
                  <c:v>19-12-2025</c:v>
                </c:pt>
                <c:pt idx="93">
                  <c:v>20-02-2025</c:v>
                </c:pt>
                <c:pt idx="94">
                  <c:v>20-05-2025</c:v>
                </c:pt>
                <c:pt idx="95">
                  <c:v>20-12-2025</c:v>
                </c:pt>
                <c:pt idx="96">
                  <c:v>21-01-2025</c:v>
                </c:pt>
                <c:pt idx="97">
                  <c:v>21-04-2025</c:v>
                </c:pt>
                <c:pt idx="98">
                  <c:v>21-07-2025</c:v>
                </c:pt>
                <c:pt idx="99">
                  <c:v>21-10-2025</c:v>
                </c:pt>
                <c:pt idx="100">
                  <c:v>21-12-2025</c:v>
                </c:pt>
                <c:pt idx="101">
                  <c:v>22-01-2025</c:v>
                </c:pt>
                <c:pt idx="102">
                  <c:v>22-05-2025</c:v>
                </c:pt>
                <c:pt idx="103">
                  <c:v>22-08-2025</c:v>
                </c:pt>
                <c:pt idx="104">
                  <c:v>22-09-2025</c:v>
                </c:pt>
                <c:pt idx="105">
                  <c:v>22-10-2025</c:v>
                </c:pt>
                <c:pt idx="106">
                  <c:v>22-11-2025</c:v>
                </c:pt>
                <c:pt idx="107">
                  <c:v>22-12-2025</c:v>
                </c:pt>
                <c:pt idx="108">
                  <c:v>23-05-2025</c:v>
                </c:pt>
                <c:pt idx="109">
                  <c:v>23-07-2025</c:v>
                </c:pt>
                <c:pt idx="110">
                  <c:v>23-09-2025</c:v>
                </c:pt>
                <c:pt idx="111">
                  <c:v>24-03-2025</c:v>
                </c:pt>
                <c:pt idx="112">
                  <c:v>24-04-2025</c:v>
                </c:pt>
                <c:pt idx="113">
                  <c:v>24-05-2025</c:v>
                </c:pt>
                <c:pt idx="114">
                  <c:v>24-06-2025</c:v>
                </c:pt>
                <c:pt idx="115">
                  <c:v>24-08-2025</c:v>
                </c:pt>
                <c:pt idx="116">
                  <c:v>24-11-2025</c:v>
                </c:pt>
                <c:pt idx="117">
                  <c:v>25-03-2025</c:v>
                </c:pt>
                <c:pt idx="118">
                  <c:v>25-04-2025</c:v>
                </c:pt>
                <c:pt idx="119">
                  <c:v>25-05-2025</c:v>
                </c:pt>
                <c:pt idx="120">
                  <c:v>25-06-2025</c:v>
                </c:pt>
                <c:pt idx="121">
                  <c:v>25-08-2025</c:v>
                </c:pt>
                <c:pt idx="122">
                  <c:v>25-10-2025</c:v>
                </c:pt>
                <c:pt idx="123">
                  <c:v>25-11-2025</c:v>
                </c:pt>
                <c:pt idx="124">
                  <c:v>25-12-2025</c:v>
                </c:pt>
                <c:pt idx="125">
                  <c:v>26-02-2025</c:v>
                </c:pt>
                <c:pt idx="126">
                  <c:v>26-03-2025</c:v>
                </c:pt>
                <c:pt idx="127">
                  <c:v>26-05-2025</c:v>
                </c:pt>
                <c:pt idx="128">
                  <c:v>26-10-2025</c:v>
                </c:pt>
                <c:pt idx="129">
                  <c:v>27-01-2025</c:v>
                </c:pt>
                <c:pt idx="130">
                  <c:v>27-03-2025</c:v>
                </c:pt>
                <c:pt idx="131">
                  <c:v>27-04-2025</c:v>
                </c:pt>
                <c:pt idx="132">
                  <c:v>27-09-2025</c:v>
                </c:pt>
                <c:pt idx="133">
                  <c:v>27-10-2025</c:v>
                </c:pt>
                <c:pt idx="134">
                  <c:v>27-12-2025</c:v>
                </c:pt>
                <c:pt idx="135">
                  <c:v>28-01-2025</c:v>
                </c:pt>
                <c:pt idx="136">
                  <c:v>28-04-2025</c:v>
                </c:pt>
                <c:pt idx="137">
                  <c:v>28-05-2025</c:v>
                </c:pt>
                <c:pt idx="138">
                  <c:v>28-06-2025</c:v>
                </c:pt>
                <c:pt idx="139">
                  <c:v>28-08-2025</c:v>
                </c:pt>
                <c:pt idx="140">
                  <c:v>28-10-2025</c:v>
                </c:pt>
                <c:pt idx="141">
                  <c:v>28-12-2025</c:v>
                </c:pt>
                <c:pt idx="142">
                  <c:v>29-01-2025</c:v>
                </c:pt>
                <c:pt idx="143">
                  <c:v>29-03-2025</c:v>
                </c:pt>
                <c:pt idx="144">
                  <c:v>29-05-2025</c:v>
                </c:pt>
                <c:pt idx="145">
                  <c:v>29-08-2025</c:v>
                </c:pt>
                <c:pt idx="146">
                  <c:v>29-11-2025</c:v>
                </c:pt>
                <c:pt idx="147">
                  <c:v>29-12-2025</c:v>
                </c:pt>
                <c:pt idx="148">
                  <c:v>30-03-2025</c:v>
                </c:pt>
                <c:pt idx="149">
                  <c:v>30-05-2025</c:v>
                </c:pt>
                <c:pt idx="150">
                  <c:v>30-07-2025</c:v>
                </c:pt>
                <c:pt idx="151">
                  <c:v>30-10-2025</c:v>
                </c:pt>
                <c:pt idx="152">
                  <c:v>30-12-2025</c:v>
                </c:pt>
                <c:pt idx="153">
                  <c:v>31-05-2025</c:v>
                </c:pt>
                <c:pt idx="154">
                  <c:v>31-08-2025</c:v>
                </c:pt>
                <c:pt idx="155">
                  <c:v>31-10-2025</c:v>
                </c:pt>
              </c:strCache>
            </c:strRef>
          </c:cat>
          <c:val>
            <c:numRef>
              <c:f>'Pivot Summary'!$B$20:$B$176</c:f>
              <c:numCache>
                <c:formatCode>General</c:formatCode>
                <c:ptCount val="156"/>
                <c:pt idx="0">
                  <c:v>357288</c:v>
                </c:pt>
                <c:pt idx="1">
                  <c:v>173870</c:v>
                </c:pt>
                <c:pt idx="2">
                  <c:v>49977</c:v>
                </c:pt>
                <c:pt idx="3">
                  <c:v>190878</c:v>
                </c:pt>
                <c:pt idx="4">
                  <c:v>47978</c:v>
                </c:pt>
                <c:pt idx="5">
                  <c:v>47537</c:v>
                </c:pt>
                <c:pt idx="6">
                  <c:v>257381</c:v>
                </c:pt>
                <c:pt idx="7">
                  <c:v>253204</c:v>
                </c:pt>
                <c:pt idx="8">
                  <c:v>194625</c:v>
                </c:pt>
                <c:pt idx="9">
                  <c:v>236922</c:v>
                </c:pt>
                <c:pt idx="10">
                  <c:v>159404</c:v>
                </c:pt>
                <c:pt idx="11">
                  <c:v>19488</c:v>
                </c:pt>
                <c:pt idx="12">
                  <c:v>112562</c:v>
                </c:pt>
                <c:pt idx="13">
                  <c:v>183835</c:v>
                </c:pt>
                <c:pt idx="14">
                  <c:v>213326</c:v>
                </c:pt>
                <c:pt idx="15">
                  <c:v>245118</c:v>
                </c:pt>
                <c:pt idx="16">
                  <c:v>314093</c:v>
                </c:pt>
                <c:pt idx="17">
                  <c:v>204342</c:v>
                </c:pt>
                <c:pt idx="18">
                  <c:v>189362</c:v>
                </c:pt>
                <c:pt idx="19">
                  <c:v>384439</c:v>
                </c:pt>
                <c:pt idx="20">
                  <c:v>168106</c:v>
                </c:pt>
                <c:pt idx="21">
                  <c:v>243447</c:v>
                </c:pt>
                <c:pt idx="22">
                  <c:v>34023</c:v>
                </c:pt>
                <c:pt idx="23">
                  <c:v>83253</c:v>
                </c:pt>
                <c:pt idx="24">
                  <c:v>119544</c:v>
                </c:pt>
                <c:pt idx="25">
                  <c:v>161200</c:v>
                </c:pt>
                <c:pt idx="26">
                  <c:v>99759</c:v>
                </c:pt>
                <c:pt idx="27">
                  <c:v>753351</c:v>
                </c:pt>
                <c:pt idx="28">
                  <c:v>237459</c:v>
                </c:pt>
                <c:pt idx="29">
                  <c:v>80333</c:v>
                </c:pt>
                <c:pt idx="30">
                  <c:v>192871</c:v>
                </c:pt>
                <c:pt idx="31">
                  <c:v>194230</c:v>
                </c:pt>
                <c:pt idx="32">
                  <c:v>26593</c:v>
                </c:pt>
                <c:pt idx="33">
                  <c:v>100955</c:v>
                </c:pt>
                <c:pt idx="34">
                  <c:v>37521</c:v>
                </c:pt>
                <c:pt idx="35">
                  <c:v>224308</c:v>
                </c:pt>
                <c:pt idx="36">
                  <c:v>223625</c:v>
                </c:pt>
                <c:pt idx="37">
                  <c:v>110093</c:v>
                </c:pt>
                <c:pt idx="38">
                  <c:v>545714</c:v>
                </c:pt>
                <c:pt idx="39">
                  <c:v>126330</c:v>
                </c:pt>
                <c:pt idx="40">
                  <c:v>83875</c:v>
                </c:pt>
                <c:pt idx="41">
                  <c:v>54100</c:v>
                </c:pt>
                <c:pt idx="42">
                  <c:v>137173</c:v>
                </c:pt>
                <c:pt idx="43">
                  <c:v>197099</c:v>
                </c:pt>
                <c:pt idx="44">
                  <c:v>128521</c:v>
                </c:pt>
                <c:pt idx="45">
                  <c:v>158613</c:v>
                </c:pt>
                <c:pt idx="46">
                  <c:v>39677</c:v>
                </c:pt>
                <c:pt idx="47">
                  <c:v>142677</c:v>
                </c:pt>
                <c:pt idx="48">
                  <c:v>189195</c:v>
                </c:pt>
                <c:pt idx="49">
                  <c:v>149958</c:v>
                </c:pt>
                <c:pt idx="50">
                  <c:v>85833</c:v>
                </c:pt>
                <c:pt idx="51">
                  <c:v>162734</c:v>
                </c:pt>
                <c:pt idx="52">
                  <c:v>198020</c:v>
                </c:pt>
                <c:pt idx="53">
                  <c:v>33181</c:v>
                </c:pt>
                <c:pt idx="54">
                  <c:v>79612</c:v>
                </c:pt>
                <c:pt idx="55">
                  <c:v>230414</c:v>
                </c:pt>
                <c:pt idx="56">
                  <c:v>116021</c:v>
                </c:pt>
                <c:pt idx="57">
                  <c:v>165701</c:v>
                </c:pt>
                <c:pt idx="58">
                  <c:v>218105</c:v>
                </c:pt>
                <c:pt idx="59">
                  <c:v>241310</c:v>
                </c:pt>
                <c:pt idx="60">
                  <c:v>203936</c:v>
                </c:pt>
                <c:pt idx="61">
                  <c:v>61999</c:v>
                </c:pt>
                <c:pt idx="62">
                  <c:v>150978</c:v>
                </c:pt>
                <c:pt idx="63">
                  <c:v>38773</c:v>
                </c:pt>
                <c:pt idx="64">
                  <c:v>97601</c:v>
                </c:pt>
                <c:pt idx="65">
                  <c:v>53171</c:v>
                </c:pt>
                <c:pt idx="66">
                  <c:v>91858</c:v>
                </c:pt>
                <c:pt idx="67">
                  <c:v>162752</c:v>
                </c:pt>
                <c:pt idx="68">
                  <c:v>22261</c:v>
                </c:pt>
                <c:pt idx="69">
                  <c:v>229625</c:v>
                </c:pt>
                <c:pt idx="70">
                  <c:v>170230</c:v>
                </c:pt>
                <c:pt idx="71">
                  <c:v>222485</c:v>
                </c:pt>
                <c:pt idx="72">
                  <c:v>281265</c:v>
                </c:pt>
                <c:pt idx="73">
                  <c:v>155179</c:v>
                </c:pt>
                <c:pt idx="74">
                  <c:v>241363</c:v>
                </c:pt>
                <c:pt idx="75">
                  <c:v>12856</c:v>
                </c:pt>
                <c:pt idx="76">
                  <c:v>175933</c:v>
                </c:pt>
                <c:pt idx="77">
                  <c:v>160709</c:v>
                </c:pt>
                <c:pt idx="78">
                  <c:v>246843</c:v>
                </c:pt>
                <c:pt idx="79">
                  <c:v>79231</c:v>
                </c:pt>
                <c:pt idx="80">
                  <c:v>79856</c:v>
                </c:pt>
                <c:pt idx="81">
                  <c:v>153463</c:v>
                </c:pt>
                <c:pt idx="82">
                  <c:v>112875</c:v>
                </c:pt>
                <c:pt idx="83">
                  <c:v>36223</c:v>
                </c:pt>
                <c:pt idx="84">
                  <c:v>247460</c:v>
                </c:pt>
                <c:pt idx="85">
                  <c:v>131388</c:v>
                </c:pt>
                <c:pt idx="86">
                  <c:v>203093</c:v>
                </c:pt>
                <c:pt idx="87">
                  <c:v>232724</c:v>
                </c:pt>
                <c:pt idx="88">
                  <c:v>307778</c:v>
                </c:pt>
                <c:pt idx="89">
                  <c:v>153500</c:v>
                </c:pt>
                <c:pt idx="90">
                  <c:v>105459</c:v>
                </c:pt>
                <c:pt idx="91">
                  <c:v>190149</c:v>
                </c:pt>
                <c:pt idx="92">
                  <c:v>14328</c:v>
                </c:pt>
                <c:pt idx="93">
                  <c:v>153556</c:v>
                </c:pt>
                <c:pt idx="94">
                  <c:v>68682</c:v>
                </c:pt>
                <c:pt idx="95">
                  <c:v>79853</c:v>
                </c:pt>
                <c:pt idx="96">
                  <c:v>141884</c:v>
                </c:pt>
                <c:pt idx="97">
                  <c:v>160341</c:v>
                </c:pt>
                <c:pt idx="98">
                  <c:v>154878</c:v>
                </c:pt>
                <c:pt idx="99">
                  <c:v>422321</c:v>
                </c:pt>
                <c:pt idx="100">
                  <c:v>45478</c:v>
                </c:pt>
                <c:pt idx="101">
                  <c:v>187328</c:v>
                </c:pt>
                <c:pt idx="102">
                  <c:v>81895</c:v>
                </c:pt>
                <c:pt idx="103">
                  <c:v>191980</c:v>
                </c:pt>
                <c:pt idx="104">
                  <c:v>127814</c:v>
                </c:pt>
                <c:pt idx="105">
                  <c:v>181301</c:v>
                </c:pt>
                <c:pt idx="106">
                  <c:v>236978</c:v>
                </c:pt>
                <c:pt idx="107">
                  <c:v>164301</c:v>
                </c:pt>
                <c:pt idx="108">
                  <c:v>48784</c:v>
                </c:pt>
                <c:pt idx="109">
                  <c:v>48567</c:v>
                </c:pt>
                <c:pt idx="110">
                  <c:v>306373</c:v>
                </c:pt>
                <c:pt idx="111">
                  <c:v>249560</c:v>
                </c:pt>
                <c:pt idx="112">
                  <c:v>121513</c:v>
                </c:pt>
                <c:pt idx="113">
                  <c:v>225008</c:v>
                </c:pt>
                <c:pt idx="114">
                  <c:v>322892</c:v>
                </c:pt>
                <c:pt idx="115">
                  <c:v>88995</c:v>
                </c:pt>
                <c:pt idx="116">
                  <c:v>107101</c:v>
                </c:pt>
                <c:pt idx="117">
                  <c:v>35109</c:v>
                </c:pt>
                <c:pt idx="118">
                  <c:v>190858</c:v>
                </c:pt>
                <c:pt idx="119">
                  <c:v>84130</c:v>
                </c:pt>
                <c:pt idx="120">
                  <c:v>104483</c:v>
                </c:pt>
                <c:pt idx="121">
                  <c:v>242949</c:v>
                </c:pt>
                <c:pt idx="122">
                  <c:v>245628</c:v>
                </c:pt>
                <c:pt idx="123">
                  <c:v>212530</c:v>
                </c:pt>
                <c:pt idx="124">
                  <c:v>100171</c:v>
                </c:pt>
                <c:pt idx="125">
                  <c:v>93424</c:v>
                </c:pt>
                <c:pt idx="126">
                  <c:v>171364</c:v>
                </c:pt>
                <c:pt idx="127">
                  <c:v>219296</c:v>
                </c:pt>
                <c:pt idx="128">
                  <c:v>249644</c:v>
                </c:pt>
                <c:pt idx="129">
                  <c:v>208058</c:v>
                </c:pt>
                <c:pt idx="130">
                  <c:v>70710</c:v>
                </c:pt>
                <c:pt idx="131">
                  <c:v>10571</c:v>
                </c:pt>
                <c:pt idx="132">
                  <c:v>138265</c:v>
                </c:pt>
                <c:pt idx="133">
                  <c:v>702829</c:v>
                </c:pt>
                <c:pt idx="134">
                  <c:v>187507</c:v>
                </c:pt>
                <c:pt idx="135">
                  <c:v>229842</c:v>
                </c:pt>
                <c:pt idx="136">
                  <c:v>187391</c:v>
                </c:pt>
                <c:pt idx="137">
                  <c:v>188904</c:v>
                </c:pt>
                <c:pt idx="138">
                  <c:v>216823</c:v>
                </c:pt>
                <c:pt idx="139">
                  <c:v>31659</c:v>
                </c:pt>
                <c:pt idx="140">
                  <c:v>233368</c:v>
                </c:pt>
                <c:pt idx="141">
                  <c:v>201123</c:v>
                </c:pt>
                <c:pt idx="142">
                  <c:v>181657</c:v>
                </c:pt>
                <c:pt idx="143">
                  <c:v>297683</c:v>
                </c:pt>
                <c:pt idx="144">
                  <c:v>164402</c:v>
                </c:pt>
                <c:pt idx="145">
                  <c:v>103585</c:v>
                </c:pt>
                <c:pt idx="146">
                  <c:v>103539</c:v>
                </c:pt>
                <c:pt idx="147">
                  <c:v>87843</c:v>
                </c:pt>
                <c:pt idx="148">
                  <c:v>296368</c:v>
                </c:pt>
                <c:pt idx="149">
                  <c:v>241669</c:v>
                </c:pt>
                <c:pt idx="150">
                  <c:v>251165</c:v>
                </c:pt>
                <c:pt idx="151">
                  <c:v>108654</c:v>
                </c:pt>
                <c:pt idx="152">
                  <c:v>253106</c:v>
                </c:pt>
                <c:pt idx="153">
                  <c:v>143369</c:v>
                </c:pt>
                <c:pt idx="154">
                  <c:v>80578</c:v>
                </c:pt>
                <c:pt idx="155">
                  <c:v>32999</c:v>
                </c:pt>
              </c:numCache>
            </c:numRef>
          </c:val>
          <c:extLst>
            <c:ext xmlns:c16="http://schemas.microsoft.com/office/drawing/2014/chart" uri="{C3380CC4-5D6E-409C-BE32-E72D297353CC}">
              <c16:uniqueId val="{00000000-CA94-46EE-A90F-E68EE5DA012B}"/>
            </c:ext>
          </c:extLst>
        </c:ser>
        <c:dLbls>
          <c:showLegendKey val="0"/>
          <c:showVal val="0"/>
          <c:showCatName val="0"/>
          <c:showSerName val="0"/>
          <c:showPercent val="0"/>
          <c:showBubbleSize val="0"/>
        </c:dLbls>
        <c:gapWidth val="219"/>
        <c:overlap val="-27"/>
        <c:axId val="1430961055"/>
        <c:axId val="1430956735"/>
      </c:barChart>
      <c:catAx>
        <c:axId val="143096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56735"/>
        <c:crosses val="autoZero"/>
        <c:auto val="1"/>
        <c:lblAlgn val="ctr"/>
        <c:lblOffset val="100"/>
        <c:noMultiLvlLbl val="0"/>
      </c:catAx>
      <c:valAx>
        <c:axId val="143095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6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Vessel-wise Expense</a:t>
            </a:r>
          </a:p>
        </c:rich>
      </c:tx>
      <c:overlay val="1"/>
    </c:title>
    <c:autoTitleDeleted val="0"/>
    <c:plotArea>
      <c:layout/>
      <c:barChart>
        <c:barDir val="col"/>
        <c:grouping val="clustered"/>
        <c:varyColors val="1"/>
        <c:ser>
          <c:idx val="0"/>
          <c:order val="0"/>
          <c:tx>
            <c:strRef>
              <c:f>'Pivot Summary 1'!$F$3</c:f>
              <c:strCache>
                <c:ptCount val="1"/>
                <c:pt idx="0">
                  <c:v>Expense</c:v>
                </c:pt>
              </c:strCache>
            </c:strRef>
          </c:tx>
          <c:spPr>
            <a:ln>
              <a:prstDash val="solid"/>
            </a:ln>
          </c:spPr>
          <c:invertIfNegative val="1"/>
          <c:cat>
            <c:strRef>
              <c:f>'Pivot Summary 1'!$E$4:$E$8</c:f>
              <c:strCache>
                <c:ptCount val="5"/>
                <c:pt idx="0">
                  <c:v>AM LEGEND</c:v>
                </c:pt>
                <c:pt idx="1">
                  <c:v>AM PEARL</c:v>
                </c:pt>
                <c:pt idx="2">
                  <c:v>AM POWER</c:v>
                </c:pt>
                <c:pt idx="3">
                  <c:v>AM PRECIOUS</c:v>
                </c:pt>
                <c:pt idx="4">
                  <c:v>AM STAR</c:v>
                </c:pt>
              </c:strCache>
            </c:strRef>
          </c:cat>
          <c:val>
            <c:numRef>
              <c:f>'Pivot Summary 1'!$F$4:$F$8</c:f>
              <c:numCache>
                <c:formatCode>General</c:formatCode>
                <c:ptCount val="5"/>
                <c:pt idx="0">
                  <c:v>6761017</c:v>
                </c:pt>
                <c:pt idx="1">
                  <c:v>4346834</c:v>
                </c:pt>
                <c:pt idx="2">
                  <c:v>4389084</c:v>
                </c:pt>
                <c:pt idx="3">
                  <c:v>3770394</c:v>
                </c:pt>
                <c:pt idx="4">
                  <c:v>6790814</c:v>
                </c:pt>
              </c:numCache>
            </c:numRef>
          </c:val>
          <c:extLst>
            <c:ext xmlns:c16="http://schemas.microsoft.com/office/drawing/2014/chart" uri="{C3380CC4-5D6E-409C-BE32-E72D297353CC}">
              <c16:uniqueId val="{00000000-8752-4039-A051-AAD9A88D287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Category Distribution</a:t>
            </a:r>
          </a:p>
        </c:rich>
      </c:tx>
      <c:overlay val="1"/>
    </c:title>
    <c:autoTitleDeleted val="0"/>
    <c:plotArea>
      <c:layout/>
      <c:pieChart>
        <c:varyColors val="1"/>
        <c:ser>
          <c:idx val="0"/>
          <c:order val="0"/>
          <c:tx>
            <c:strRef>
              <c:f>'Pivot Summary 1'!$F$15</c:f>
              <c:strCache>
                <c:ptCount val="1"/>
                <c:pt idx="0">
                  <c:v>Amount</c:v>
                </c:pt>
              </c:strCache>
            </c:strRef>
          </c:tx>
          <c:spPr>
            <a:ln>
              <a:prstDash val="solid"/>
            </a:ln>
          </c:spPr>
          <c:cat>
            <c:strRef>
              <c:f>'Pivot Summary 1'!$E$16:$E$20</c:f>
              <c:strCache>
                <c:ptCount val="5"/>
                <c:pt idx="0">
                  <c:v>Deck Stores</c:v>
                </c:pt>
                <c:pt idx="1">
                  <c:v>Electrical</c:v>
                </c:pt>
                <c:pt idx="2">
                  <c:v>Engine Spares</c:v>
                </c:pt>
                <c:pt idx="3">
                  <c:v>Lube Oil</c:v>
                </c:pt>
                <c:pt idx="4">
                  <c:v>Safety Items</c:v>
                </c:pt>
              </c:strCache>
            </c:strRef>
          </c:cat>
          <c:val>
            <c:numRef>
              <c:f>'Pivot Summary 1'!$F$16:$F$20</c:f>
              <c:numCache>
                <c:formatCode>General</c:formatCode>
                <c:ptCount val="5"/>
                <c:pt idx="0">
                  <c:v>6084811</c:v>
                </c:pt>
                <c:pt idx="1">
                  <c:v>4521559</c:v>
                </c:pt>
                <c:pt idx="2">
                  <c:v>4704346</c:v>
                </c:pt>
                <c:pt idx="3">
                  <c:v>5514831</c:v>
                </c:pt>
                <c:pt idx="4">
                  <c:v>5232596</c:v>
                </c:pt>
              </c:numCache>
            </c:numRef>
          </c:val>
          <c:extLst>
            <c:ext xmlns:c16="http://schemas.microsoft.com/office/drawing/2014/chart" uri="{C3380CC4-5D6E-409C-BE32-E72D297353CC}">
              <c16:uniqueId val="{00000000-86FE-4B39-8EA5-9F925F0D2E31}"/>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13</xdr:col>
      <xdr:colOff>190500</xdr:colOff>
      <xdr:row>6</xdr:row>
      <xdr:rowOff>129540</xdr:rowOff>
    </xdr:from>
    <xdr:to>
      <xdr:col>20</xdr:col>
      <xdr:colOff>437029</xdr:colOff>
      <xdr:row>21</xdr:row>
      <xdr:rowOff>152400</xdr:rowOff>
    </xdr:to>
    <xdr:graphicFrame macro="">
      <xdr:nvGraphicFramePr>
        <xdr:cNvPr id="2" name="Chart 1">
          <a:extLst>
            <a:ext uri="{FF2B5EF4-FFF2-40B4-BE49-F238E27FC236}">
              <a16:creationId xmlns:a16="http://schemas.microsoft.com/office/drawing/2014/main" id="{91D20317-AD3F-47F4-A707-BD2135D1B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167640</xdr:colOff>
      <xdr:row>22</xdr:row>
      <xdr:rowOff>54429</xdr:rowOff>
    </xdr:from>
    <xdr:to>
      <xdr:col>20</xdr:col>
      <xdr:colOff>472440</xdr:colOff>
      <xdr:row>38</xdr:row>
      <xdr:rowOff>78441</xdr:rowOff>
    </xdr:to>
    <xdr:graphicFrame macro="">
      <xdr:nvGraphicFramePr>
        <xdr:cNvPr id="3" name="Chart 2">
          <a:extLst>
            <a:ext uri="{FF2B5EF4-FFF2-40B4-BE49-F238E27FC236}">
              <a16:creationId xmlns:a16="http://schemas.microsoft.com/office/drawing/2014/main" id="{6037678D-37EC-4FFE-9A0D-544B0A91A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44823</xdr:colOff>
      <xdr:row>22</xdr:row>
      <xdr:rowOff>78441</xdr:rowOff>
    </xdr:from>
    <xdr:to>
      <xdr:col>12</xdr:col>
      <xdr:colOff>481853</xdr:colOff>
      <xdr:row>38</xdr:row>
      <xdr:rowOff>80011</xdr:rowOff>
    </xdr:to>
    <xdr:graphicFrame macro="">
      <xdr:nvGraphicFramePr>
        <xdr:cNvPr id="4" name="Chart 3">
          <a:extLst>
            <a:ext uri="{FF2B5EF4-FFF2-40B4-BE49-F238E27FC236}">
              <a16:creationId xmlns:a16="http://schemas.microsoft.com/office/drawing/2014/main" id="{EAC2F96F-D10C-4F7C-A1D9-618ED6468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xdr:col>
      <xdr:colOff>38099</xdr:colOff>
      <xdr:row>6</xdr:row>
      <xdr:rowOff>106680</xdr:rowOff>
    </xdr:from>
    <xdr:ext cx="6809015" cy="2750820"/>
    <xdr:graphicFrame macro="">
      <xdr:nvGraphicFramePr>
        <xdr:cNvPr id="5" name="Chart 4">
          <a:extLst>
            <a:ext uri="{FF2B5EF4-FFF2-40B4-BE49-F238E27FC236}">
              <a16:creationId xmlns:a16="http://schemas.microsoft.com/office/drawing/2014/main" id="{07E4ECBD-2C84-4F55-A5C8-2318D1F9F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twoCellAnchor editAs="oneCell">
    <xdr:from>
      <xdr:col>3</xdr:col>
      <xdr:colOff>106455</xdr:colOff>
      <xdr:row>4</xdr:row>
      <xdr:rowOff>7044</xdr:rowOff>
    </xdr:from>
    <xdr:to>
      <xdr:col>3</xdr:col>
      <xdr:colOff>1935255</xdr:colOff>
      <xdr:row>16</xdr:row>
      <xdr:rowOff>48906</xdr:rowOff>
    </xdr:to>
    <mc:AlternateContent xmlns:mc="http://schemas.openxmlformats.org/markup-compatibility/2006" xmlns:a14="http://schemas.microsoft.com/office/drawing/2010/main">
      <mc:Choice Requires="a14">
        <xdr:graphicFrame macro="">
          <xdr:nvGraphicFramePr>
            <xdr:cNvPr id="10" name="Vessel">
              <a:extLst>
                <a:ext uri="{FF2B5EF4-FFF2-40B4-BE49-F238E27FC236}">
                  <a16:creationId xmlns:a16="http://schemas.microsoft.com/office/drawing/2014/main" id="{CCA15967-EBEF-4081-911B-E27D14BDBC01}"/>
                </a:ext>
              </a:extLst>
            </xdr:cNvPr>
            <xdr:cNvGraphicFramePr/>
          </xdr:nvGraphicFramePr>
          <xdr:xfrm>
            <a:off x="0" y="0"/>
            <a:ext cx="0" cy="0"/>
          </xdr:xfrm>
          <a:graphic>
            <a:graphicData uri="http://schemas.microsoft.com/office/drawing/2010/slicer">
              <sle:slicer xmlns:sle="http://schemas.microsoft.com/office/drawing/2010/slicer" name="Vessel"/>
            </a:graphicData>
          </a:graphic>
        </xdr:graphicFrame>
      </mc:Choice>
      <mc:Fallback xmlns="">
        <xdr:sp macro="" textlink="">
          <xdr:nvSpPr>
            <xdr:cNvPr id="0" name=""/>
            <xdr:cNvSpPr>
              <a:spLocks noTextEdit="1"/>
            </xdr:cNvSpPr>
          </xdr:nvSpPr>
          <xdr:spPr>
            <a:xfrm>
              <a:off x="1921808" y="1217279"/>
              <a:ext cx="1828800" cy="2406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108856</xdr:colOff>
      <xdr:row>11</xdr:row>
      <xdr:rowOff>159285</xdr:rowOff>
    </xdr:from>
    <xdr:to>
      <xdr:col>3</xdr:col>
      <xdr:colOff>1937656</xdr:colOff>
      <xdr:row>25</xdr:row>
      <xdr:rowOff>149760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BCF25B81-2EB1-43F2-BF21-E89CE2FEF44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24209" y="2837491"/>
              <a:ext cx="1828800" cy="2500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111578</xdr:colOff>
      <xdr:row>21</xdr:row>
      <xdr:rowOff>1122</xdr:rowOff>
    </xdr:from>
    <xdr:to>
      <xdr:col>3</xdr:col>
      <xdr:colOff>1940378</xdr:colOff>
      <xdr:row>34</xdr:row>
      <xdr:rowOff>170891</xdr:rowOff>
    </xdr:to>
    <mc:AlternateContent xmlns:mc="http://schemas.openxmlformats.org/markup-compatibility/2006" xmlns:a14="http://schemas.microsoft.com/office/drawing/2010/main">
      <mc:Choice Requires="a14">
        <xdr:graphicFrame macro="">
          <xdr:nvGraphicFramePr>
            <xdr:cNvPr id="12" name="Status 1">
              <a:extLst>
                <a:ext uri="{FF2B5EF4-FFF2-40B4-BE49-F238E27FC236}">
                  <a16:creationId xmlns:a16="http://schemas.microsoft.com/office/drawing/2014/main" id="{76A9D636-9A56-4300-8748-C4A19F6D8573}"/>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926931" y="4472269"/>
              <a:ext cx="1828800" cy="2500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102453</xdr:colOff>
      <xdr:row>27</xdr:row>
      <xdr:rowOff>113660</xdr:rowOff>
    </xdr:from>
    <xdr:to>
      <xdr:col>3</xdr:col>
      <xdr:colOff>1931253</xdr:colOff>
      <xdr:row>38</xdr:row>
      <xdr:rowOff>127267</xdr:rowOff>
    </xdr:to>
    <mc:AlternateContent xmlns:mc="http://schemas.openxmlformats.org/markup-compatibility/2006" xmlns:a14="http://schemas.microsoft.com/office/drawing/2010/main">
      <mc:Choice Requires="a14">
        <xdr:graphicFrame macro="">
          <xdr:nvGraphicFramePr>
            <xdr:cNvPr id="13" name="Vessel 2">
              <a:extLst>
                <a:ext uri="{FF2B5EF4-FFF2-40B4-BE49-F238E27FC236}">
                  <a16:creationId xmlns:a16="http://schemas.microsoft.com/office/drawing/2014/main" id="{BF48E548-6E54-4F4B-A26A-F4ABB6B92785}"/>
                </a:ext>
              </a:extLst>
            </xdr:cNvPr>
            <xdr:cNvGraphicFramePr/>
          </xdr:nvGraphicFramePr>
          <xdr:xfrm>
            <a:off x="0" y="0"/>
            <a:ext cx="0" cy="0"/>
          </xdr:xfrm>
          <a:graphic>
            <a:graphicData uri="http://schemas.microsoft.com/office/drawing/2010/slicer">
              <sle:slicer xmlns:sle="http://schemas.microsoft.com/office/drawing/2010/slicer" name="Vessel 2"/>
            </a:graphicData>
          </a:graphic>
        </xdr:graphicFrame>
      </mc:Choice>
      <mc:Fallback xmlns="">
        <xdr:sp macro="" textlink="">
          <xdr:nvSpPr>
            <xdr:cNvPr id="0" name=""/>
            <xdr:cNvSpPr>
              <a:spLocks noTextEdit="1"/>
            </xdr:cNvSpPr>
          </xdr:nvSpPr>
          <xdr:spPr>
            <a:xfrm>
              <a:off x="1917806" y="5660572"/>
              <a:ext cx="1828800" cy="1985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421822</xdr:colOff>
      <xdr:row>1</xdr:row>
      <xdr:rowOff>122465</xdr:rowOff>
    </xdr:from>
    <xdr:to>
      <xdr:col>20</xdr:col>
      <xdr:colOff>489857</xdr:colOff>
      <xdr:row>2</xdr:row>
      <xdr:rowOff>367444</xdr:rowOff>
    </xdr:to>
    <xdr:pic>
      <xdr:nvPicPr>
        <xdr:cNvPr id="14" name="Picture 13">
          <a:extLst>
            <a:ext uri="{FF2B5EF4-FFF2-40B4-BE49-F238E27FC236}">
              <a16:creationId xmlns:a16="http://schemas.microsoft.com/office/drawing/2014/main" id="{4DD20DFA-8C45-25D5-C447-AD79DE14AFB3}"/>
            </a:ext>
          </a:extLst>
        </xdr:cNvPr>
        <xdr:cNvPicPr>
          <a:picLocks noChangeAspect="1"/>
        </xdr:cNvPicPr>
      </xdr:nvPicPr>
      <xdr:blipFill>
        <a:blip xmlns:r="http://schemas.openxmlformats.org/officeDocument/2006/relationships" r:embed="rId5"/>
        <a:stretch>
          <a:fillRect/>
        </a:stretch>
      </xdr:blipFill>
      <xdr:spPr>
        <a:xfrm>
          <a:off x="14940643" y="489858"/>
          <a:ext cx="1905000" cy="6123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327660</xdr:colOff>
      <xdr:row>0</xdr:row>
      <xdr:rowOff>259080</xdr:rowOff>
    </xdr:from>
    <xdr:ext cx="5394960" cy="26289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16</xdr:col>
      <xdr:colOff>281940</xdr:colOff>
      <xdr:row>0</xdr:row>
      <xdr:rowOff>106680</xdr:rowOff>
    </xdr:from>
    <xdr:to>
      <xdr:col>23</xdr:col>
      <xdr:colOff>586740</xdr:colOff>
      <xdr:row>14</xdr:row>
      <xdr:rowOff>121920</xdr:rowOff>
    </xdr:to>
    <xdr:graphicFrame macro="">
      <xdr:nvGraphicFramePr>
        <xdr:cNvPr id="4" name="Chart 3">
          <a:extLst>
            <a:ext uri="{FF2B5EF4-FFF2-40B4-BE49-F238E27FC236}">
              <a16:creationId xmlns:a16="http://schemas.microsoft.com/office/drawing/2014/main" id="{C37E05C2-71C7-3FF5-7412-C8B1E12E0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327660</xdr:colOff>
      <xdr:row>19</xdr:row>
      <xdr:rowOff>3810</xdr:rowOff>
    </xdr:from>
    <xdr:to>
      <xdr:col>24</xdr:col>
      <xdr:colOff>22860</xdr:colOff>
      <xdr:row>33</xdr:row>
      <xdr:rowOff>125730</xdr:rowOff>
    </xdr:to>
    <xdr:graphicFrame macro="">
      <xdr:nvGraphicFramePr>
        <xdr:cNvPr id="5" name="Chart 4">
          <a:extLst>
            <a:ext uri="{FF2B5EF4-FFF2-40B4-BE49-F238E27FC236}">
              <a16:creationId xmlns:a16="http://schemas.microsoft.com/office/drawing/2014/main" id="{5265D91B-89B9-EF05-EF69-D267C453E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594360</xdr:colOff>
      <xdr:row>39</xdr:row>
      <xdr:rowOff>57150</xdr:rowOff>
    </xdr:from>
    <xdr:to>
      <xdr:col>24</xdr:col>
      <xdr:colOff>289560</xdr:colOff>
      <xdr:row>54</xdr:row>
      <xdr:rowOff>57150</xdr:rowOff>
    </xdr:to>
    <xdr:graphicFrame macro="">
      <xdr:nvGraphicFramePr>
        <xdr:cNvPr id="6" name="Chart 5">
          <a:extLst>
            <a:ext uri="{FF2B5EF4-FFF2-40B4-BE49-F238E27FC236}">
              <a16:creationId xmlns:a16="http://schemas.microsoft.com/office/drawing/2014/main" id="{A2B8BDCB-6603-9CC1-0AA8-0EEDAF36F5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312420</xdr:colOff>
      <xdr:row>17</xdr:row>
      <xdr:rowOff>247650</xdr:rowOff>
    </xdr:from>
    <xdr:to>
      <xdr:col>13</xdr:col>
      <xdr:colOff>7620</xdr:colOff>
      <xdr:row>36</xdr:row>
      <xdr:rowOff>83820</xdr:rowOff>
    </xdr:to>
    <xdr:graphicFrame macro="">
      <xdr:nvGraphicFramePr>
        <xdr:cNvPr id="7" name="Chart 6">
          <a:extLst>
            <a:ext uri="{FF2B5EF4-FFF2-40B4-BE49-F238E27FC236}">
              <a16:creationId xmlns:a16="http://schemas.microsoft.com/office/drawing/2014/main" id="{4A9D3AFB-A05C-C4A0-ABE4-91E4836C9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xdr:row>
      <xdr:rowOff>0</xdr:rowOff>
    </xdr:from>
    <xdr:ext cx="5040000" cy="288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579120</xdr:colOff>
      <xdr:row>16</xdr:row>
      <xdr:rowOff>160020</xdr:rowOff>
    </xdr:from>
    <xdr:ext cx="3600000" cy="288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twoCellAnchor editAs="oneCell">
    <xdr:from>
      <xdr:col>9</xdr:col>
      <xdr:colOff>388620</xdr:colOff>
      <xdr:row>2</xdr:row>
      <xdr:rowOff>114300</xdr:rowOff>
    </xdr:from>
    <xdr:to>
      <xdr:col>12</xdr:col>
      <xdr:colOff>388620</xdr:colOff>
      <xdr:row>16</xdr:row>
      <xdr:rowOff>20955</xdr:rowOff>
    </xdr:to>
    <mc:AlternateContent xmlns:mc="http://schemas.openxmlformats.org/markup-compatibility/2006" xmlns:a14="http://schemas.microsoft.com/office/drawing/2010/main">
      <mc:Choice Requires="a14">
        <xdr:graphicFrame macro="">
          <xdr:nvGraphicFramePr>
            <xdr:cNvPr id="7" name="Vendor">
              <a:extLst>
                <a:ext uri="{FF2B5EF4-FFF2-40B4-BE49-F238E27FC236}">
                  <a16:creationId xmlns:a16="http://schemas.microsoft.com/office/drawing/2014/main" id="{92C153F2-5156-9716-A99C-A1268B7A3DB4}"/>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mlns="">
        <xdr:sp macro="" textlink="">
          <xdr:nvSpPr>
            <xdr:cNvPr id="0" name=""/>
            <xdr:cNvSpPr>
              <a:spLocks noTextEdit="1"/>
            </xdr:cNvSpPr>
          </xdr:nvSpPr>
          <xdr:spPr>
            <a:xfrm>
              <a:off x="5875020" y="480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518160</xdr:colOff>
      <xdr:row>2</xdr:row>
      <xdr:rowOff>68580</xdr:rowOff>
    </xdr:from>
    <xdr:to>
      <xdr:col>15</xdr:col>
      <xdr:colOff>518160</xdr:colOff>
      <xdr:row>15</xdr:row>
      <xdr:rowOff>158115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3A083722-930F-249F-EAFA-D0B537D86E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833360" y="434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53340</xdr:colOff>
      <xdr:row>2</xdr:row>
      <xdr:rowOff>53340</xdr:rowOff>
    </xdr:from>
    <xdr:to>
      <xdr:col>19</xdr:col>
      <xdr:colOff>53340</xdr:colOff>
      <xdr:row>15</xdr:row>
      <xdr:rowOff>142875</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9FF6E7E4-271D-6122-69C0-99C176773B7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80694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601980</xdr:colOff>
      <xdr:row>3</xdr:row>
      <xdr:rowOff>106680</xdr:rowOff>
    </xdr:from>
    <xdr:to>
      <xdr:col>8</xdr:col>
      <xdr:colOff>601980</xdr:colOff>
      <xdr:row>17</xdr:row>
      <xdr:rowOff>13335</xdr:rowOff>
    </xdr:to>
    <mc:AlternateContent xmlns:mc="http://schemas.openxmlformats.org/markup-compatibility/2006" xmlns:a14="http://schemas.microsoft.com/office/drawing/2010/main">
      <mc:Choice Requires="a14">
        <xdr:graphicFrame macro="">
          <xdr:nvGraphicFramePr>
            <xdr:cNvPr id="11" name="Vessel 1">
              <a:extLst>
                <a:ext uri="{FF2B5EF4-FFF2-40B4-BE49-F238E27FC236}">
                  <a16:creationId xmlns:a16="http://schemas.microsoft.com/office/drawing/2014/main" id="{79DF79D5-BF32-5CC2-A26E-8250196AF4A5}"/>
                </a:ext>
              </a:extLst>
            </xdr:cNvPr>
            <xdr:cNvGraphicFramePr/>
          </xdr:nvGraphicFramePr>
          <xdr:xfrm>
            <a:off x="0" y="0"/>
            <a:ext cx="0" cy="0"/>
          </xdr:xfrm>
          <a:graphic>
            <a:graphicData uri="http://schemas.microsoft.com/office/drawing/2010/slicer">
              <sle:slicer xmlns:sle="http://schemas.microsoft.com/office/drawing/2010/slicer" name="Vessel 1"/>
            </a:graphicData>
          </a:graphic>
        </xdr:graphicFrame>
      </mc:Choice>
      <mc:Fallback xmlns="">
        <xdr:sp macro="" textlink="">
          <xdr:nvSpPr>
            <xdr:cNvPr id="0" name=""/>
            <xdr:cNvSpPr>
              <a:spLocks noTextEdit="1"/>
            </xdr:cNvSpPr>
          </xdr:nvSpPr>
          <xdr:spPr>
            <a:xfrm>
              <a:off x="3649980" y="65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bh Paigude" refreshedDate="46151.557529745369" createdVersion="8" refreshedVersion="8" minRefreshableVersion="3" recordCount="200" xr:uid="{F5F414CD-E156-4D4C-A32B-716A1A52D8FA}">
  <cacheSource type="worksheet">
    <worksheetSource name="MaritimeData"/>
  </cacheSource>
  <cacheFields count="9">
    <cacheField name="Date" numFmtId="0">
      <sharedItems count="156">
        <s v="06-01-2025"/>
        <s v="15-05-2025"/>
        <s v="20-02-2025"/>
        <s v="05-01-2025"/>
        <s v="22-11-2025"/>
        <s v="28-10-2025"/>
        <s v="07-03-2025"/>
        <s v="25-11-2025"/>
        <s v="04-01-2025"/>
        <s v="25-12-2025"/>
        <s v="13-03-2025"/>
        <s v="08-06-2025"/>
        <s v="18-08-2025"/>
        <s v="18-09-2025"/>
        <s v="19-10-2025"/>
        <s v="07-06-2025"/>
        <s v="14-01-2025"/>
        <s v="21-04-2025"/>
        <s v="11-06-2025"/>
        <s v="08-10-2025"/>
        <s v="27-03-2025"/>
        <s v="24-11-2025"/>
        <s v="07-07-2025"/>
        <s v="29-03-2025"/>
        <s v="10-11-2025"/>
        <s v="01-02-2025"/>
        <s v="28-05-2025"/>
        <s v="25-03-2025"/>
        <s v="26-10-2025"/>
        <s v="01-08-2025"/>
        <s v="31-05-2025"/>
        <s v="31-08-2025"/>
        <s v="06-07-2025"/>
        <s v="17-08-2025"/>
        <s v="09-09-2025"/>
        <s v="04-07-2025"/>
        <s v="10-03-2025"/>
        <s v="04-08-2025"/>
        <s v="14-10-2025"/>
        <s v="13-02-2025"/>
        <s v="16-03-2025"/>
        <s v="17-09-2025"/>
        <s v="05-10-2025"/>
        <s v="29-01-2025"/>
        <s v="30-03-2025"/>
        <s v="05-04-2025"/>
        <s v="05-11-2025"/>
        <s v="26-05-2025"/>
        <s v="21-01-2025"/>
        <s v="29-12-2025"/>
        <s v="31-10-2025"/>
        <s v="27-10-2025"/>
        <s v="29-11-2025"/>
        <s v="09-02-2025"/>
        <s v="18-12-2025"/>
        <s v="22-12-2025"/>
        <s v="01-04-2025"/>
        <s v="28-04-2025"/>
        <s v="12-05-2025"/>
        <s v="29-08-2025"/>
        <s v="13-12-2025"/>
        <s v="11-01-2025"/>
        <s v="19-07-2025"/>
        <s v="26-02-2025"/>
        <s v="24-06-2025"/>
        <s v="03-05-2025"/>
        <s v="28-06-2025"/>
        <s v="25-05-2025"/>
        <s v="03-07-2025"/>
        <s v="25-06-2025"/>
        <s v="28-08-2025"/>
        <s v="04-02-2025"/>
        <s v="18-03-2025"/>
        <s v="12-04-2025"/>
        <s v="07-01-2025"/>
        <s v="30-07-2025"/>
        <s v="17-01-2025"/>
        <s v="14-12-2025"/>
        <s v="24-03-2025"/>
        <s v="02-04-2025"/>
        <s v="27-04-2025"/>
        <s v="12-03-2025"/>
        <s v="16-10-2025"/>
        <s v="03-01-2025"/>
        <s v="15-10-2025"/>
        <s v="12-09-2025"/>
        <s v="21-07-2025"/>
        <s v="17-10-2025"/>
        <s v="15-04-2025"/>
        <s v="19-06-2025"/>
        <s v="10-10-2025"/>
        <s v="07-12-2025"/>
        <s v="11-08-2025"/>
        <s v="07-10-2025"/>
        <s v="13-07-2025"/>
        <s v="23-05-2025"/>
        <s v="24-05-2025"/>
        <s v="18-02-2025"/>
        <s v="27-01-2025"/>
        <s v="26-03-2025"/>
        <s v="30-05-2025"/>
        <s v="22-09-2025"/>
        <s v="14-02-2025"/>
        <s v="05-08-2025"/>
        <s v="21-10-2025"/>
        <s v="13-11-2025"/>
        <s v="01-09-2025"/>
        <s v="03-09-2025"/>
        <s v="03-08-2025"/>
        <s v="28-12-2025"/>
        <s v="25-10-2025"/>
        <s v="09-07-2025"/>
        <s v="25-08-2025"/>
        <s v="09-03-2025"/>
        <s v="28-01-2025"/>
        <s v="14-03-2025"/>
        <s v="01-07-2025"/>
        <s v="03-12-2025"/>
        <s v="02-09-2025"/>
        <s v="16-06-2025"/>
        <s v="22-05-2025"/>
        <s v="04-04-2025"/>
        <s v="21-12-2025"/>
        <s v="20-12-2025"/>
        <s v="17-07-2025"/>
        <s v="03-06-2025"/>
        <s v="19-11-2025"/>
        <s v="27-12-2025"/>
        <s v="09-11-2025"/>
        <s v="16-12-2025"/>
        <s v="22-01-2025"/>
        <s v="15-06-2025"/>
        <s v="29-05-2025"/>
        <s v="08-02-2025"/>
        <s v="01-10-2025"/>
        <s v="25-04-2025"/>
        <s v="19-02-2025"/>
        <s v="18-07-2025"/>
        <s v="24-04-2025"/>
        <s v="04-11-2025"/>
        <s v="22-10-2025"/>
        <s v="17-02-2025"/>
        <s v="19-12-2025"/>
        <s v="22-08-2025"/>
        <s v="23-07-2025"/>
        <s v="14-05-2025"/>
        <s v="02-11-2025"/>
        <s v="30-10-2025"/>
        <s v="11-07-2025"/>
        <s v="20-05-2025"/>
        <s v="30-12-2025"/>
        <s v="23-09-2025"/>
        <s v="24-08-2025"/>
        <s v="07-09-2025"/>
        <s v="16-11-2025"/>
        <s v="27-09-2025"/>
      </sharedItems>
    </cacheField>
    <cacheField name="Vessel" numFmtId="0">
      <sharedItems count="5">
        <s v="AM LEGEND"/>
        <s v="AM PEARL"/>
        <s v="AM POWER"/>
        <s v="AM STAR"/>
        <s v="AM PRECIOUS"/>
      </sharedItems>
    </cacheField>
    <cacheField name="Vendor" numFmtId="0">
      <sharedItems count="5">
        <s v="DRS Marine"/>
        <s v="Raj Industries"/>
        <s v="Lynx Marine"/>
        <s v="Mars Petrochem"/>
        <s v="Ocean Supply"/>
      </sharedItems>
    </cacheField>
    <cacheField name="Category" numFmtId="0">
      <sharedItems count="5">
        <s v="Lube Oil"/>
        <s v="Electrical"/>
        <s v="Safety Items"/>
        <s v="Deck Stores"/>
        <s v="Engine Spares"/>
      </sharedItems>
    </cacheField>
    <cacheField name="PO No" numFmtId="0">
      <sharedItems count="200">
        <s v="PO-1001"/>
        <s v="PO-1002"/>
        <s v="PO-1003"/>
        <s v="PO-1004"/>
        <s v="PO-1005"/>
        <s v="PO-1006"/>
        <s v="PO-1007"/>
        <s v="PO-1008"/>
        <s v="PO-1009"/>
        <s v="PO-1010"/>
        <s v="PO-1011"/>
        <s v="PO-1012"/>
        <s v="PO-1013"/>
        <s v="PO-1014"/>
        <s v="PO-1015"/>
        <s v="PO-1016"/>
        <s v="PO-1017"/>
        <s v="PO-1018"/>
        <s v="PO-1019"/>
        <s v="PO-1020"/>
        <s v="PO-1021"/>
        <s v="PO-1022"/>
        <s v="PO-1023"/>
        <s v="PO-1024"/>
        <s v="PO-1025"/>
        <s v="PO-1026"/>
        <s v="PO-1027"/>
        <s v="PO-1028"/>
        <s v="PO-1029"/>
        <s v="PO-1030"/>
        <s v="PO-1031"/>
        <s v="PO-1032"/>
        <s v="PO-1033"/>
        <s v="PO-1034"/>
        <s v="PO-1035"/>
        <s v="PO-1036"/>
        <s v="PO-1037"/>
        <s v="PO-1038"/>
        <s v="PO-1039"/>
        <s v="PO-1040"/>
        <s v="PO-1041"/>
        <s v="PO-1042"/>
        <s v="PO-1043"/>
        <s v="PO-1044"/>
        <s v="PO-1045"/>
        <s v="PO-1046"/>
        <s v="PO-1047"/>
        <s v="PO-1048"/>
        <s v="PO-1049"/>
        <s v="PO-1050"/>
        <s v="PO-1051"/>
        <s v="PO-1052"/>
        <s v="PO-1053"/>
        <s v="PO-1054"/>
        <s v="PO-1055"/>
        <s v="PO-1056"/>
        <s v="PO-1057"/>
        <s v="PO-1058"/>
        <s v="PO-1059"/>
        <s v="PO-1060"/>
        <s v="PO-1061"/>
        <s v="PO-1062"/>
        <s v="PO-1063"/>
        <s v="PO-1064"/>
        <s v="PO-1065"/>
        <s v="PO-1066"/>
        <s v="PO-1067"/>
        <s v="PO-1068"/>
        <s v="PO-1069"/>
        <s v="PO-1070"/>
        <s v="PO-1071"/>
        <s v="PO-1072"/>
        <s v="PO-1073"/>
        <s v="PO-1074"/>
        <s v="PO-1075"/>
        <s v="PO-1076"/>
        <s v="PO-1077"/>
        <s v="PO-1078"/>
        <s v="PO-1079"/>
        <s v="PO-1080"/>
        <s v="PO-1081"/>
        <s v="PO-1082"/>
        <s v="PO-1083"/>
        <s v="PO-1084"/>
        <s v="PO-1085"/>
        <s v="PO-1086"/>
        <s v="PO-1087"/>
        <s v="PO-1088"/>
        <s v="PO-1089"/>
        <s v="PO-1090"/>
        <s v="PO-1091"/>
        <s v="PO-1092"/>
        <s v="PO-1093"/>
        <s v="PO-1094"/>
        <s v="PO-1095"/>
        <s v="PO-1096"/>
        <s v="PO-1097"/>
        <s v="PO-1098"/>
        <s v="PO-1099"/>
        <s v="PO-1100"/>
        <s v="PO-1101"/>
        <s v="PO-1102"/>
        <s v="PO-1103"/>
        <s v="PO-1104"/>
        <s v="PO-1105"/>
        <s v="PO-1106"/>
        <s v="PO-1107"/>
        <s v="PO-1108"/>
        <s v="PO-1109"/>
        <s v="PO-1110"/>
        <s v="PO-1111"/>
        <s v="PO-1112"/>
        <s v="PO-1113"/>
        <s v="PO-1114"/>
        <s v="PO-1115"/>
        <s v="PO-1116"/>
        <s v="PO-1117"/>
        <s v="PO-1118"/>
        <s v="PO-1119"/>
        <s v="PO-1120"/>
        <s v="PO-1121"/>
        <s v="PO-1122"/>
        <s v="PO-1123"/>
        <s v="PO-1124"/>
        <s v="PO-1125"/>
        <s v="PO-1126"/>
        <s v="PO-1127"/>
        <s v="PO-1128"/>
        <s v="PO-1129"/>
        <s v="PO-1130"/>
        <s v="PO-1131"/>
        <s v="PO-1132"/>
        <s v="PO-1133"/>
        <s v="PO-1134"/>
        <s v="PO-1135"/>
        <s v="PO-1136"/>
        <s v="PO-1137"/>
        <s v="PO-1138"/>
        <s v="PO-1139"/>
        <s v="PO-1140"/>
        <s v="PO-1141"/>
        <s v="PO-1142"/>
        <s v="PO-1143"/>
        <s v="PO-1144"/>
        <s v="PO-1145"/>
        <s v="PO-1146"/>
        <s v="PO-1147"/>
        <s v="PO-1148"/>
        <s v="PO-1149"/>
        <s v="PO-1150"/>
        <s v="PO-1151"/>
        <s v="PO-1152"/>
        <s v="PO-1153"/>
        <s v="PO-1154"/>
        <s v="PO-1155"/>
        <s v="PO-1156"/>
        <s v="PO-1157"/>
        <s v="PO-1158"/>
        <s v="PO-1159"/>
        <s v="PO-1160"/>
        <s v="PO-1161"/>
        <s v="PO-1162"/>
        <s v="PO-1163"/>
        <s v="PO-1164"/>
        <s v="PO-1165"/>
        <s v="PO-1166"/>
        <s v="PO-1167"/>
        <s v="PO-1168"/>
        <s v="PO-1169"/>
        <s v="PO-1170"/>
        <s v="PO-1171"/>
        <s v="PO-1172"/>
        <s v="PO-1173"/>
        <s v="PO-1174"/>
        <s v="PO-1175"/>
        <s v="PO-1176"/>
        <s v="PO-1177"/>
        <s v="PO-1178"/>
        <s v="PO-1179"/>
        <s v="PO-1180"/>
        <s v="PO-1181"/>
        <s v="PO-1182"/>
        <s v="PO-1183"/>
        <s v="PO-1184"/>
        <s v="PO-1185"/>
        <s v="PO-1186"/>
        <s v="PO-1187"/>
        <s v="PO-1188"/>
        <s v="PO-1189"/>
        <s v="PO-1190"/>
        <s v="PO-1191"/>
        <s v="PO-1192"/>
        <s v="PO-1193"/>
        <s v="PO-1194"/>
        <s v="PO-1195"/>
        <s v="PO-1196"/>
        <s v="PO-1197"/>
        <s v="PO-1198"/>
        <s v="PO-1199"/>
        <s v="PO-1200"/>
      </sharedItems>
    </cacheField>
    <cacheField name="Invoice No" numFmtId="0">
      <sharedItems/>
    </cacheField>
    <cacheField name="Amount" numFmtId="0">
      <sharedItems containsSemiMixedTypes="0" containsString="0" containsNumber="1" containsInteger="1" minValue="10571" maxValue="249560" count="200">
        <n v="198871"/>
        <n v="21926"/>
        <n v="153556"/>
        <n v="34023"/>
        <n v="77977"/>
        <n v="233368"/>
        <n v="73746"/>
        <n v="77819"/>
        <n v="104778"/>
        <n v="100171"/>
        <n v="116021"/>
        <n v="110093"/>
        <n v="243119"/>
        <n v="247460"/>
        <n v="131388"/>
        <n v="10616"/>
        <n v="194230"/>
        <n v="203936"/>
        <n v="160341"/>
        <n v="177828"/>
        <n v="193070"/>
        <n v="70710"/>
        <n v="107101"/>
        <n v="26593"/>
        <n v="209315"/>
        <n v="129602"/>
        <n v="39677"/>
        <n v="148661"/>
        <n v="125029"/>
        <n v="35109"/>
        <n v="119197"/>
        <n v="190878"/>
        <n v="143369"/>
        <n v="80578"/>
        <n v="237459"/>
        <n v="246843"/>
        <n v="137173"/>
        <n v="225448"/>
        <n v="128521"/>
        <n v="99872"/>
        <n v="140826"/>
        <n v="94843"/>
        <n v="97601"/>
        <n v="230414"/>
        <n v="170230"/>
        <n v="79231"/>
        <n v="134711"/>
        <n v="161200"/>
        <n v="45744"/>
        <n v="179531"/>
        <n v="83253"/>
        <n v="44165"/>
        <n v="119808"/>
        <n v="141884"/>
        <n v="87843"/>
        <n v="32999"/>
        <n v="147203"/>
        <n v="23438"/>
        <n v="126330"/>
        <n v="165683"/>
        <n v="203093"/>
        <n v="164301"/>
        <n v="159001"/>
        <n v="173870"/>
        <n v="187391"/>
        <n v="33181"/>
        <n v="103585"/>
        <n v="241310"/>
        <n v="142677"/>
        <n v="153500"/>
        <n v="93424"/>
        <n v="80323"/>
        <n v="159404"/>
        <n v="216823"/>
        <n v="84130"/>
        <n v="112562"/>
        <n v="104483"/>
        <n v="31659"/>
        <n v="204342"/>
        <n v="154511"/>
        <n v="112875"/>
        <n v="198020"/>
        <n v="226238"/>
        <n v="80333"/>
        <n v="158991"/>
        <n v="151579"/>
        <n v="12856"/>
        <n v="53171"/>
        <n v="249560"/>
        <n v="84595"/>
        <n v="11367"/>
        <n v="10571"/>
        <n v="144926"/>
        <n v="104115"/>
        <n v="236922"/>
        <n v="229625"/>
        <n v="79612"/>
        <n v="154878"/>
        <n v="79856"/>
        <n v="130447"/>
        <n v="91858"/>
        <n v="103683"/>
        <n v="102753"/>
        <n v="55594"/>
        <n v="224308"/>
        <n v="85833"/>
        <n v="37521"/>
        <n v="165701"/>
        <n v="48784"/>
        <n v="233974"/>
        <n v="225008"/>
        <n v="153463"/>
        <n v="144641"/>
        <n v="166354"/>
        <n v="171364"/>
        <n v="241669"/>
        <n v="127814"/>
        <n v="61999"/>
        <n v="119544"/>
        <n v="223155"/>
        <n v="218105"/>
        <n v="199166"/>
        <n v="34670"/>
        <n v="47978"/>
        <n v="168163"/>
        <n v="183835"/>
        <n v="125885"/>
        <n v="116837"/>
        <n v="245628"/>
        <n v="135913"/>
        <n v="63875"/>
        <n v="34085"/>
        <n v="242949"/>
        <n v="83875"/>
        <n v="229842"/>
        <n v="150978"/>
        <n v="49977"/>
        <n v="245118"/>
        <n v="63417"/>
        <n v="175793"/>
        <n v="17808"/>
        <n v="99488"/>
        <n v="87835"/>
        <n v="81895"/>
        <n v="189362"/>
        <n v="95414"/>
        <n v="45478"/>
        <n v="79853"/>
        <n v="160709"/>
        <n v="156850"/>
        <n v="134650"/>
        <n v="19488"/>
        <n v="190149"/>
        <n v="168081"/>
        <n v="187507"/>
        <n v="197099"/>
        <n v="241363"/>
        <n v="119125"/>
        <n v="37741"/>
        <n v="187328"/>
        <n v="22261"/>
        <n v="164402"/>
        <n v="208627"/>
        <n v="223625"/>
        <n v="47537"/>
        <n v="190858"/>
        <n v="232724"/>
        <n v="36223"/>
        <n v="77411"/>
        <n v="177150"/>
        <n v="121513"/>
        <n v="243447"/>
        <n v="75238"/>
        <n v="181301"/>
        <n v="55860"/>
        <n v="175933"/>
        <n v="242569"/>
        <n v="14328"/>
        <n v="172786"/>
        <n v="191980"/>
        <n v="48567"/>
        <n v="38773"/>
        <n v="194625"/>
        <n v="186961"/>
        <n v="108654"/>
        <n v="149958"/>
        <n v="68682"/>
        <n v="45163"/>
        <n v="182813"/>
        <n v="199972"/>
        <n v="99586"/>
        <n v="88995"/>
        <n v="100955"/>
        <n v="70293"/>
        <n v="106401"/>
        <n v="68234"/>
        <n v="20015"/>
        <n v="155179"/>
        <n v="45431"/>
        <n v="138265"/>
      </sharedItems>
    </cacheField>
    <cacheField name="Status" numFmtId="0">
      <sharedItems count="3">
        <s v="Delivered"/>
        <s v="In Transit"/>
        <s v="Pending"/>
      </sharedItems>
    </cacheField>
    <cacheField name="Delivery Days" numFmtId="0">
      <sharedItems containsSemiMixedTypes="0" containsString="0" containsNumber="1" containsInteger="1" minValue="2" maxValue="25"/>
    </cacheField>
  </cacheFields>
  <extLst>
    <ext xmlns:x14="http://schemas.microsoft.com/office/spreadsheetml/2009/9/main" uri="{725AE2AE-9491-48be-B2B4-4EB974FC3084}">
      <x14:pivotCacheDefinition pivotCacheId="1445437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s v="INV-2001"/>
    <x v="0"/>
    <x v="0"/>
    <n v="12"/>
  </r>
  <r>
    <x v="1"/>
    <x v="1"/>
    <x v="0"/>
    <x v="1"/>
    <x v="1"/>
    <s v="INV-2002"/>
    <x v="1"/>
    <x v="1"/>
    <n v="12"/>
  </r>
  <r>
    <x v="2"/>
    <x v="2"/>
    <x v="0"/>
    <x v="1"/>
    <x v="2"/>
    <s v="INV-2003"/>
    <x v="2"/>
    <x v="1"/>
    <n v="9"/>
  </r>
  <r>
    <x v="3"/>
    <x v="2"/>
    <x v="1"/>
    <x v="2"/>
    <x v="3"/>
    <s v="INV-2004"/>
    <x v="3"/>
    <x v="2"/>
    <n v="2"/>
  </r>
  <r>
    <x v="4"/>
    <x v="2"/>
    <x v="2"/>
    <x v="1"/>
    <x v="4"/>
    <s v="INV-2005"/>
    <x v="4"/>
    <x v="1"/>
    <n v="9"/>
  </r>
  <r>
    <x v="5"/>
    <x v="3"/>
    <x v="3"/>
    <x v="3"/>
    <x v="5"/>
    <s v="INV-2006"/>
    <x v="5"/>
    <x v="2"/>
    <n v="10"/>
  </r>
  <r>
    <x v="6"/>
    <x v="1"/>
    <x v="1"/>
    <x v="4"/>
    <x v="6"/>
    <s v="INV-2007"/>
    <x v="6"/>
    <x v="2"/>
    <n v="5"/>
  </r>
  <r>
    <x v="7"/>
    <x v="3"/>
    <x v="0"/>
    <x v="3"/>
    <x v="7"/>
    <s v="INV-2008"/>
    <x v="7"/>
    <x v="0"/>
    <n v="10"/>
  </r>
  <r>
    <x v="8"/>
    <x v="3"/>
    <x v="2"/>
    <x v="2"/>
    <x v="8"/>
    <s v="INV-2009"/>
    <x v="8"/>
    <x v="0"/>
    <n v="9"/>
  </r>
  <r>
    <x v="9"/>
    <x v="3"/>
    <x v="3"/>
    <x v="4"/>
    <x v="9"/>
    <s v="INV-2010"/>
    <x v="9"/>
    <x v="2"/>
    <n v="18"/>
  </r>
  <r>
    <x v="10"/>
    <x v="2"/>
    <x v="1"/>
    <x v="2"/>
    <x v="10"/>
    <s v="INV-2011"/>
    <x v="10"/>
    <x v="1"/>
    <n v="2"/>
  </r>
  <r>
    <x v="11"/>
    <x v="0"/>
    <x v="0"/>
    <x v="2"/>
    <x v="11"/>
    <s v="INV-2012"/>
    <x v="11"/>
    <x v="0"/>
    <n v="5"/>
  </r>
  <r>
    <x v="0"/>
    <x v="1"/>
    <x v="2"/>
    <x v="4"/>
    <x v="12"/>
    <s v="INV-2013"/>
    <x v="12"/>
    <x v="1"/>
    <n v="5"/>
  </r>
  <r>
    <x v="12"/>
    <x v="4"/>
    <x v="2"/>
    <x v="2"/>
    <x v="13"/>
    <s v="INV-2014"/>
    <x v="13"/>
    <x v="1"/>
    <n v="6"/>
  </r>
  <r>
    <x v="13"/>
    <x v="0"/>
    <x v="2"/>
    <x v="3"/>
    <x v="14"/>
    <s v="INV-2015"/>
    <x v="14"/>
    <x v="0"/>
    <n v="6"/>
  </r>
  <r>
    <x v="14"/>
    <x v="1"/>
    <x v="4"/>
    <x v="4"/>
    <x v="15"/>
    <s v="INV-2016"/>
    <x v="15"/>
    <x v="2"/>
    <n v="9"/>
  </r>
  <r>
    <x v="15"/>
    <x v="0"/>
    <x v="0"/>
    <x v="0"/>
    <x v="16"/>
    <s v="INV-2017"/>
    <x v="16"/>
    <x v="1"/>
    <n v="12"/>
  </r>
  <r>
    <x v="16"/>
    <x v="1"/>
    <x v="3"/>
    <x v="4"/>
    <x v="17"/>
    <s v="INV-2018"/>
    <x v="17"/>
    <x v="2"/>
    <n v="22"/>
  </r>
  <r>
    <x v="17"/>
    <x v="3"/>
    <x v="3"/>
    <x v="3"/>
    <x v="18"/>
    <s v="INV-2019"/>
    <x v="18"/>
    <x v="2"/>
    <n v="16"/>
  </r>
  <r>
    <x v="18"/>
    <x v="2"/>
    <x v="4"/>
    <x v="1"/>
    <x v="19"/>
    <s v="INV-2020"/>
    <x v="19"/>
    <x v="2"/>
    <n v="19"/>
  </r>
  <r>
    <x v="19"/>
    <x v="4"/>
    <x v="3"/>
    <x v="2"/>
    <x v="20"/>
    <s v="INV-2021"/>
    <x v="20"/>
    <x v="1"/>
    <n v="6"/>
  </r>
  <r>
    <x v="20"/>
    <x v="0"/>
    <x v="2"/>
    <x v="3"/>
    <x v="21"/>
    <s v="INV-2022"/>
    <x v="21"/>
    <x v="2"/>
    <n v="13"/>
  </r>
  <r>
    <x v="21"/>
    <x v="0"/>
    <x v="1"/>
    <x v="3"/>
    <x v="22"/>
    <s v="INV-2023"/>
    <x v="22"/>
    <x v="2"/>
    <n v="7"/>
  </r>
  <r>
    <x v="22"/>
    <x v="0"/>
    <x v="2"/>
    <x v="3"/>
    <x v="23"/>
    <s v="INV-2024"/>
    <x v="23"/>
    <x v="0"/>
    <n v="10"/>
  </r>
  <r>
    <x v="8"/>
    <x v="3"/>
    <x v="1"/>
    <x v="0"/>
    <x v="24"/>
    <s v="INV-2025"/>
    <x v="24"/>
    <x v="2"/>
    <n v="3"/>
  </r>
  <r>
    <x v="23"/>
    <x v="1"/>
    <x v="3"/>
    <x v="3"/>
    <x v="25"/>
    <s v="INV-2026"/>
    <x v="25"/>
    <x v="2"/>
    <n v="11"/>
  </r>
  <r>
    <x v="24"/>
    <x v="4"/>
    <x v="0"/>
    <x v="0"/>
    <x v="26"/>
    <s v="INV-2027"/>
    <x v="26"/>
    <x v="2"/>
    <n v="21"/>
  </r>
  <r>
    <x v="25"/>
    <x v="3"/>
    <x v="0"/>
    <x v="3"/>
    <x v="27"/>
    <s v="INV-2028"/>
    <x v="27"/>
    <x v="1"/>
    <n v="3"/>
  </r>
  <r>
    <x v="26"/>
    <x v="0"/>
    <x v="2"/>
    <x v="3"/>
    <x v="28"/>
    <s v="INV-2029"/>
    <x v="28"/>
    <x v="1"/>
    <n v="8"/>
  </r>
  <r>
    <x v="27"/>
    <x v="0"/>
    <x v="0"/>
    <x v="0"/>
    <x v="29"/>
    <s v="INV-2030"/>
    <x v="29"/>
    <x v="2"/>
    <n v="24"/>
  </r>
  <r>
    <x v="28"/>
    <x v="3"/>
    <x v="1"/>
    <x v="4"/>
    <x v="30"/>
    <s v="INV-2031"/>
    <x v="30"/>
    <x v="1"/>
    <n v="24"/>
  </r>
  <r>
    <x v="29"/>
    <x v="0"/>
    <x v="3"/>
    <x v="1"/>
    <x v="31"/>
    <s v="INV-2032"/>
    <x v="31"/>
    <x v="0"/>
    <n v="13"/>
  </r>
  <r>
    <x v="30"/>
    <x v="3"/>
    <x v="1"/>
    <x v="2"/>
    <x v="32"/>
    <s v="INV-2033"/>
    <x v="32"/>
    <x v="1"/>
    <n v="16"/>
  </r>
  <r>
    <x v="31"/>
    <x v="4"/>
    <x v="1"/>
    <x v="0"/>
    <x v="33"/>
    <s v="INV-2034"/>
    <x v="33"/>
    <x v="0"/>
    <n v="3"/>
  </r>
  <r>
    <x v="32"/>
    <x v="2"/>
    <x v="2"/>
    <x v="2"/>
    <x v="34"/>
    <s v="INV-2035"/>
    <x v="34"/>
    <x v="0"/>
    <n v="4"/>
  </r>
  <r>
    <x v="33"/>
    <x v="1"/>
    <x v="0"/>
    <x v="3"/>
    <x v="35"/>
    <s v="INV-2036"/>
    <x v="35"/>
    <x v="1"/>
    <n v="3"/>
  </r>
  <r>
    <x v="34"/>
    <x v="1"/>
    <x v="1"/>
    <x v="0"/>
    <x v="36"/>
    <s v="INV-2037"/>
    <x v="36"/>
    <x v="1"/>
    <n v="13"/>
  </r>
  <r>
    <x v="35"/>
    <x v="0"/>
    <x v="4"/>
    <x v="1"/>
    <x v="37"/>
    <s v="INV-2038"/>
    <x v="37"/>
    <x v="0"/>
    <n v="14"/>
  </r>
  <r>
    <x v="36"/>
    <x v="0"/>
    <x v="1"/>
    <x v="3"/>
    <x v="38"/>
    <s v="INV-2039"/>
    <x v="38"/>
    <x v="2"/>
    <n v="25"/>
  </r>
  <r>
    <x v="37"/>
    <x v="0"/>
    <x v="3"/>
    <x v="4"/>
    <x v="39"/>
    <s v="INV-2040"/>
    <x v="39"/>
    <x v="1"/>
    <n v="17"/>
  </r>
  <r>
    <x v="1"/>
    <x v="1"/>
    <x v="3"/>
    <x v="2"/>
    <x v="40"/>
    <s v="INV-2041"/>
    <x v="40"/>
    <x v="0"/>
    <n v="24"/>
  </r>
  <r>
    <x v="14"/>
    <x v="0"/>
    <x v="4"/>
    <x v="2"/>
    <x v="41"/>
    <s v="INV-2042"/>
    <x v="41"/>
    <x v="0"/>
    <n v="20"/>
  </r>
  <r>
    <x v="38"/>
    <x v="1"/>
    <x v="4"/>
    <x v="4"/>
    <x v="42"/>
    <s v="INV-2043"/>
    <x v="42"/>
    <x v="0"/>
    <n v="8"/>
  </r>
  <r>
    <x v="39"/>
    <x v="0"/>
    <x v="1"/>
    <x v="3"/>
    <x v="43"/>
    <s v="INV-2044"/>
    <x v="43"/>
    <x v="2"/>
    <n v="13"/>
  </r>
  <r>
    <x v="40"/>
    <x v="0"/>
    <x v="4"/>
    <x v="3"/>
    <x v="44"/>
    <s v="INV-2045"/>
    <x v="44"/>
    <x v="1"/>
    <n v="23"/>
  </r>
  <r>
    <x v="41"/>
    <x v="4"/>
    <x v="0"/>
    <x v="4"/>
    <x v="45"/>
    <s v="INV-2046"/>
    <x v="45"/>
    <x v="1"/>
    <n v="13"/>
  </r>
  <r>
    <x v="7"/>
    <x v="4"/>
    <x v="4"/>
    <x v="0"/>
    <x v="46"/>
    <s v="INV-2047"/>
    <x v="46"/>
    <x v="1"/>
    <n v="14"/>
  </r>
  <r>
    <x v="42"/>
    <x v="2"/>
    <x v="4"/>
    <x v="3"/>
    <x v="47"/>
    <s v="INV-2048"/>
    <x v="47"/>
    <x v="0"/>
    <n v="17"/>
  </r>
  <r>
    <x v="43"/>
    <x v="4"/>
    <x v="3"/>
    <x v="2"/>
    <x v="48"/>
    <s v="INV-2049"/>
    <x v="48"/>
    <x v="0"/>
    <n v="25"/>
  </r>
  <r>
    <x v="44"/>
    <x v="1"/>
    <x v="3"/>
    <x v="0"/>
    <x v="49"/>
    <s v="INV-2050"/>
    <x v="49"/>
    <x v="2"/>
    <n v="20"/>
  </r>
  <r>
    <x v="45"/>
    <x v="3"/>
    <x v="4"/>
    <x v="4"/>
    <x v="50"/>
    <s v="INV-2051"/>
    <x v="50"/>
    <x v="1"/>
    <n v="21"/>
  </r>
  <r>
    <x v="46"/>
    <x v="2"/>
    <x v="0"/>
    <x v="1"/>
    <x v="51"/>
    <s v="INV-2052"/>
    <x v="51"/>
    <x v="2"/>
    <n v="17"/>
  </r>
  <r>
    <x v="47"/>
    <x v="3"/>
    <x v="3"/>
    <x v="4"/>
    <x v="52"/>
    <s v="INV-2053"/>
    <x v="52"/>
    <x v="1"/>
    <n v="22"/>
  </r>
  <r>
    <x v="48"/>
    <x v="4"/>
    <x v="4"/>
    <x v="4"/>
    <x v="53"/>
    <s v="INV-2054"/>
    <x v="53"/>
    <x v="0"/>
    <n v="2"/>
  </r>
  <r>
    <x v="49"/>
    <x v="0"/>
    <x v="3"/>
    <x v="2"/>
    <x v="54"/>
    <s v="INV-2055"/>
    <x v="54"/>
    <x v="2"/>
    <n v="23"/>
  </r>
  <r>
    <x v="50"/>
    <x v="0"/>
    <x v="4"/>
    <x v="0"/>
    <x v="55"/>
    <s v="INV-2056"/>
    <x v="55"/>
    <x v="0"/>
    <n v="2"/>
  </r>
  <r>
    <x v="51"/>
    <x v="2"/>
    <x v="2"/>
    <x v="2"/>
    <x v="56"/>
    <s v="INV-2057"/>
    <x v="56"/>
    <x v="0"/>
    <n v="5"/>
  </r>
  <r>
    <x v="52"/>
    <x v="3"/>
    <x v="4"/>
    <x v="2"/>
    <x v="57"/>
    <s v="INV-2058"/>
    <x v="57"/>
    <x v="1"/>
    <n v="12"/>
  </r>
  <r>
    <x v="53"/>
    <x v="3"/>
    <x v="3"/>
    <x v="2"/>
    <x v="58"/>
    <s v="INV-2059"/>
    <x v="58"/>
    <x v="2"/>
    <n v="10"/>
  </r>
  <r>
    <x v="19"/>
    <x v="3"/>
    <x v="2"/>
    <x v="2"/>
    <x v="59"/>
    <s v="INV-2060"/>
    <x v="59"/>
    <x v="2"/>
    <n v="15"/>
  </r>
  <r>
    <x v="54"/>
    <x v="3"/>
    <x v="2"/>
    <x v="3"/>
    <x v="60"/>
    <s v="INV-2061"/>
    <x v="60"/>
    <x v="0"/>
    <n v="9"/>
  </r>
  <r>
    <x v="55"/>
    <x v="2"/>
    <x v="2"/>
    <x v="2"/>
    <x v="61"/>
    <s v="INV-2062"/>
    <x v="61"/>
    <x v="2"/>
    <n v="3"/>
  </r>
  <r>
    <x v="4"/>
    <x v="0"/>
    <x v="1"/>
    <x v="4"/>
    <x v="62"/>
    <s v="INV-2063"/>
    <x v="62"/>
    <x v="0"/>
    <n v="3"/>
  </r>
  <r>
    <x v="56"/>
    <x v="4"/>
    <x v="3"/>
    <x v="3"/>
    <x v="63"/>
    <s v="INV-2064"/>
    <x v="63"/>
    <x v="1"/>
    <n v="10"/>
  </r>
  <r>
    <x v="57"/>
    <x v="2"/>
    <x v="3"/>
    <x v="2"/>
    <x v="64"/>
    <s v="INV-2065"/>
    <x v="64"/>
    <x v="2"/>
    <n v="5"/>
  </r>
  <r>
    <x v="58"/>
    <x v="3"/>
    <x v="1"/>
    <x v="3"/>
    <x v="65"/>
    <s v="INV-2066"/>
    <x v="65"/>
    <x v="2"/>
    <n v="19"/>
  </r>
  <r>
    <x v="59"/>
    <x v="3"/>
    <x v="0"/>
    <x v="4"/>
    <x v="66"/>
    <s v="INV-2067"/>
    <x v="66"/>
    <x v="2"/>
    <n v="11"/>
  </r>
  <r>
    <x v="60"/>
    <x v="0"/>
    <x v="3"/>
    <x v="1"/>
    <x v="67"/>
    <s v="INV-2068"/>
    <x v="67"/>
    <x v="2"/>
    <n v="6"/>
  </r>
  <r>
    <x v="61"/>
    <x v="2"/>
    <x v="2"/>
    <x v="3"/>
    <x v="68"/>
    <s v="INV-2069"/>
    <x v="68"/>
    <x v="1"/>
    <n v="21"/>
  </r>
  <r>
    <x v="62"/>
    <x v="0"/>
    <x v="2"/>
    <x v="3"/>
    <x v="69"/>
    <s v="INV-2070"/>
    <x v="69"/>
    <x v="1"/>
    <n v="3"/>
  </r>
  <r>
    <x v="63"/>
    <x v="0"/>
    <x v="2"/>
    <x v="4"/>
    <x v="70"/>
    <s v="INV-2071"/>
    <x v="70"/>
    <x v="2"/>
    <n v="15"/>
  </r>
  <r>
    <x v="64"/>
    <x v="3"/>
    <x v="4"/>
    <x v="3"/>
    <x v="71"/>
    <s v="INV-2072"/>
    <x v="71"/>
    <x v="1"/>
    <n v="3"/>
  </r>
  <r>
    <x v="65"/>
    <x v="2"/>
    <x v="3"/>
    <x v="2"/>
    <x v="72"/>
    <s v="INV-2073"/>
    <x v="72"/>
    <x v="1"/>
    <n v="22"/>
  </r>
  <r>
    <x v="66"/>
    <x v="1"/>
    <x v="4"/>
    <x v="0"/>
    <x v="73"/>
    <s v="INV-2074"/>
    <x v="73"/>
    <x v="0"/>
    <n v="5"/>
  </r>
  <r>
    <x v="67"/>
    <x v="3"/>
    <x v="1"/>
    <x v="2"/>
    <x v="74"/>
    <s v="INV-2075"/>
    <x v="74"/>
    <x v="0"/>
    <n v="19"/>
  </r>
  <r>
    <x v="68"/>
    <x v="4"/>
    <x v="3"/>
    <x v="0"/>
    <x v="75"/>
    <s v="INV-2076"/>
    <x v="75"/>
    <x v="0"/>
    <n v="16"/>
  </r>
  <r>
    <x v="69"/>
    <x v="4"/>
    <x v="4"/>
    <x v="4"/>
    <x v="76"/>
    <s v="INV-2077"/>
    <x v="76"/>
    <x v="0"/>
    <n v="23"/>
  </r>
  <r>
    <x v="70"/>
    <x v="3"/>
    <x v="4"/>
    <x v="2"/>
    <x v="77"/>
    <s v="INV-2078"/>
    <x v="77"/>
    <x v="2"/>
    <n v="11"/>
  </r>
  <r>
    <x v="71"/>
    <x v="2"/>
    <x v="4"/>
    <x v="2"/>
    <x v="78"/>
    <s v="INV-2079"/>
    <x v="78"/>
    <x v="1"/>
    <n v="7"/>
  </r>
  <r>
    <x v="0"/>
    <x v="0"/>
    <x v="4"/>
    <x v="0"/>
    <x v="79"/>
    <s v="INV-2080"/>
    <x v="79"/>
    <x v="2"/>
    <n v="22"/>
  </r>
  <r>
    <x v="72"/>
    <x v="4"/>
    <x v="0"/>
    <x v="1"/>
    <x v="80"/>
    <s v="INV-2081"/>
    <x v="80"/>
    <x v="2"/>
    <n v="7"/>
  </r>
  <r>
    <x v="73"/>
    <x v="0"/>
    <x v="4"/>
    <x v="4"/>
    <x v="81"/>
    <s v="INV-2082"/>
    <x v="81"/>
    <x v="2"/>
    <n v="16"/>
  </r>
  <r>
    <x v="51"/>
    <x v="2"/>
    <x v="2"/>
    <x v="0"/>
    <x v="82"/>
    <s v="INV-2083"/>
    <x v="82"/>
    <x v="0"/>
    <n v="3"/>
  </r>
  <r>
    <x v="74"/>
    <x v="4"/>
    <x v="4"/>
    <x v="1"/>
    <x v="83"/>
    <s v="INV-2084"/>
    <x v="83"/>
    <x v="0"/>
    <n v="7"/>
  </r>
  <r>
    <x v="35"/>
    <x v="1"/>
    <x v="3"/>
    <x v="2"/>
    <x v="84"/>
    <s v="INV-2085"/>
    <x v="84"/>
    <x v="1"/>
    <n v="16"/>
  </r>
  <r>
    <x v="75"/>
    <x v="3"/>
    <x v="1"/>
    <x v="0"/>
    <x v="85"/>
    <s v="INV-2086"/>
    <x v="85"/>
    <x v="2"/>
    <n v="2"/>
  </r>
  <r>
    <x v="76"/>
    <x v="2"/>
    <x v="3"/>
    <x v="2"/>
    <x v="86"/>
    <s v="INV-2087"/>
    <x v="86"/>
    <x v="1"/>
    <n v="24"/>
  </r>
  <r>
    <x v="77"/>
    <x v="3"/>
    <x v="3"/>
    <x v="4"/>
    <x v="87"/>
    <s v="INV-2088"/>
    <x v="87"/>
    <x v="2"/>
    <n v="8"/>
  </r>
  <r>
    <x v="78"/>
    <x v="0"/>
    <x v="2"/>
    <x v="3"/>
    <x v="88"/>
    <s v="INV-2089"/>
    <x v="88"/>
    <x v="1"/>
    <n v="16"/>
  </r>
  <r>
    <x v="79"/>
    <x v="1"/>
    <x v="4"/>
    <x v="1"/>
    <x v="89"/>
    <s v="INV-2090"/>
    <x v="89"/>
    <x v="0"/>
    <n v="19"/>
  </r>
  <r>
    <x v="18"/>
    <x v="2"/>
    <x v="4"/>
    <x v="4"/>
    <x v="90"/>
    <s v="INV-2091"/>
    <x v="90"/>
    <x v="2"/>
    <n v="22"/>
  </r>
  <r>
    <x v="80"/>
    <x v="4"/>
    <x v="4"/>
    <x v="4"/>
    <x v="91"/>
    <s v="INV-2092"/>
    <x v="91"/>
    <x v="0"/>
    <n v="16"/>
  </r>
  <r>
    <x v="81"/>
    <x v="0"/>
    <x v="0"/>
    <x v="3"/>
    <x v="92"/>
    <s v="INV-2093"/>
    <x v="92"/>
    <x v="0"/>
    <n v="7"/>
  </r>
  <r>
    <x v="82"/>
    <x v="1"/>
    <x v="1"/>
    <x v="2"/>
    <x v="93"/>
    <s v="INV-2094"/>
    <x v="93"/>
    <x v="2"/>
    <n v="21"/>
  </r>
  <r>
    <x v="83"/>
    <x v="4"/>
    <x v="4"/>
    <x v="1"/>
    <x v="94"/>
    <s v="INV-2095"/>
    <x v="94"/>
    <x v="2"/>
    <n v="25"/>
  </r>
  <r>
    <x v="84"/>
    <x v="2"/>
    <x v="0"/>
    <x v="4"/>
    <x v="95"/>
    <s v="INV-2096"/>
    <x v="95"/>
    <x v="1"/>
    <n v="8"/>
  </r>
  <r>
    <x v="85"/>
    <x v="3"/>
    <x v="1"/>
    <x v="0"/>
    <x v="96"/>
    <s v="INV-2097"/>
    <x v="96"/>
    <x v="1"/>
    <n v="19"/>
  </r>
  <r>
    <x v="86"/>
    <x v="1"/>
    <x v="4"/>
    <x v="2"/>
    <x v="97"/>
    <s v="INV-2098"/>
    <x v="97"/>
    <x v="2"/>
    <n v="3"/>
  </r>
  <r>
    <x v="87"/>
    <x v="1"/>
    <x v="2"/>
    <x v="2"/>
    <x v="98"/>
    <s v="INV-2099"/>
    <x v="98"/>
    <x v="2"/>
    <n v="24"/>
  </r>
  <r>
    <x v="28"/>
    <x v="1"/>
    <x v="1"/>
    <x v="1"/>
    <x v="99"/>
    <s v="INV-2100"/>
    <x v="99"/>
    <x v="1"/>
    <n v="12"/>
  </r>
  <r>
    <x v="88"/>
    <x v="3"/>
    <x v="4"/>
    <x v="1"/>
    <x v="100"/>
    <s v="INV-2101"/>
    <x v="100"/>
    <x v="2"/>
    <n v="19"/>
  </r>
  <r>
    <x v="89"/>
    <x v="3"/>
    <x v="2"/>
    <x v="2"/>
    <x v="101"/>
    <s v="INV-2102"/>
    <x v="101"/>
    <x v="1"/>
    <n v="16"/>
  </r>
  <r>
    <x v="90"/>
    <x v="0"/>
    <x v="2"/>
    <x v="0"/>
    <x v="102"/>
    <s v="INV-2103"/>
    <x v="102"/>
    <x v="0"/>
    <n v="15"/>
  </r>
  <r>
    <x v="46"/>
    <x v="2"/>
    <x v="2"/>
    <x v="0"/>
    <x v="103"/>
    <s v="INV-2104"/>
    <x v="103"/>
    <x v="2"/>
    <n v="10"/>
  </r>
  <r>
    <x v="91"/>
    <x v="2"/>
    <x v="2"/>
    <x v="1"/>
    <x v="104"/>
    <s v="INV-2105"/>
    <x v="104"/>
    <x v="2"/>
    <n v="4"/>
  </r>
  <r>
    <x v="92"/>
    <x v="0"/>
    <x v="4"/>
    <x v="0"/>
    <x v="105"/>
    <s v="INV-2106"/>
    <x v="105"/>
    <x v="1"/>
    <n v="22"/>
  </r>
  <r>
    <x v="93"/>
    <x v="3"/>
    <x v="2"/>
    <x v="4"/>
    <x v="106"/>
    <s v="INV-2107"/>
    <x v="106"/>
    <x v="1"/>
    <n v="17"/>
  </r>
  <r>
    <x v="94"/>
    <x v="4"/>
    <x v="1"/>
    <x v="0"/>
    <x v="107"/>
    <s v="INV-2108"/>
    <x v="107"/>
    <x v="2"/>
    <n v="16"/>
  </r>
  <r>
    <x v="95"/>
    <x v="1"/>
    <x v="4"/>
    <x v="2"/>
    <x v="108"/>
    <s v="INV-2109"/>
    <x v="108"/>
    <x v="1"/>
    <n v="11"/>
  </r>
  <r>
    <x v="51"/>
    <x v="0"/>
    <x v="4"/>
    <x v="3"/>
    <x v="109"/>
    <s v="INV-2110"/>
    <x v="109"/>
    <x v="2"/>
    <n v="21"/>
  </r>
  <r>
    <x v="96"/>
    <x v="0"/>
    <x v="4"/>
    <x v="4"/>
    <x v="110"/>
    <s v="INV-2111"/>
    <x v="110"/>
    <x v="1"/>
    <n v="14"/>
  </r>
  <r>
    <x v="97"/>
    <x v="3"/>
    <x v="2"/>
    <x v="0"/>
    <x v="111"/>
    <s v="INV-2112"/>
    <x v="111"/>
    <x v="0"/>
    <n v="5"/>
  </r>
  <r>
    <x v="98"/>
    <x v="3"/>
    <x v="1"/>
    <x v="1"/>
    <x v="112"/>
    <s v="INV-2113"/>
    <x v="112"/>
    <x v="2"/>
    <n v="6"/>
  </r>
  <r>
    <x v="89"/>
    <x v="4"/>
    <x v="1"/>
    <x v="1"/>
    <x v="113"/>
    <s v="INV-2114"/>
    <x v="113"/>
    <x v="2"/>
    <n v="7"/>
  </r>
  <r>
    <x v="99"/>
    <x v="1"/>
    <x v="3"/>
    <x v="4"/>
    <x v="114"/>
    <s v="INV-2115"/>
    <x v="114"/>
    <x v="1"/>
    <n v="20"/>
  </r>
  <r>
    <x v="100"/>
    <x v="3"/>
    <x v="1"/>
    <x v="0"/>
    <x v="115"/>
    <s v="INV-2116"/>
    <x v="115"/>
    <x v="2"/>
    <n v="21"/>
  </r>
  <r>
    <x v="101"/>
    <x v="1"/>
    <x v="3"/>
    <x v="3"/>
    <x v="116"/>
    <s v="INV-2117"/>
    <x v="116"/>
    <x v="1"/>
    <n v="6"/>
  </r>
  <r>
    <x v="102"/>
    <x v="1"/>
    <x v="2"/>
    <x v="3"/>
    <x v="117"/>
    <s v="INV-2118"/>
    <x v="117"/>
    <x v="2"/>
    <n v="22"/>
  </r>
  <r>
    <x v="103"/>
    <x v="0"/>
    <x v="3"/>
    <x v="1"/>
    <x v="118"/>
    <s v="INV-2119"/>
    <x v="118"/>
    <x v="0"/>
    <n v="7"/>
  </r>
  <r>
    <x v="104"/>
    <x v="4"/>
    <x v="1"/>
    <x v="3"/>
    <x v="119"/>
    <s v="INV-2120"/>
    <x v="119"/>
    <x v="2"/>
    <n v="3"/>
  </r>
  <r>
    <x v="105"/>
    <x v="0"/>
    <x v="1"/>
    <x v="0"/>
    <x v="120"/>
    <s v="INV-2121"/>
    <x v="120"/>
    <x v="0"/>
    <n v="7"/>
  </r>
  <r>
    <x v="104"/>
    <x v="1"/>
    <x v="4"/>
    <x v="0"/>
    <x v="121"/>
    <s v="INV-2122"/>
    <x v="121"/>
    <x v="0"/>
    <n v="3"/>
  </r>
  <r>
    <x v="52"/>
    <x v="4"/>
    <x v="4"/>
    <x v="3"/>
    <x v="122"/>
    <s v="INV-2123"/>
    <x v="122"/>
    <x v="1"/>
    <n v="13"/>
  </r>
  <r>
    <x v="106"/>
    <x v="1"/>
    <x v="3"/>
    <x v="4"/>
    <x v="123"/>
    <s v="INV-2124"/>
    <x v="123"/>
    <x v="2"/>
    <n v="3"/>
  </r>
  <r>
    <x v="107"/>
    <x v="0"/>
    <x v="1"/>
    <x v="1"/>
    <x v="124"/>
    <s v="INV-2125"/>
    <x v="124"/>
    <x v="1"/>
    <n v="12"/>
  </r>
  <r>
    <x v="108"/>
    <x v="2"/>
    <x v="4"/>
    <x v="0"/>
    <x v="125"/>
    <s v="INV-2126"/>
    <x v="125"/>
    <x v="0"/>
    <n v="15"/>
  </r>
  <r>
    <x v="109"/>
    <x v="3"/>
    <x v="0"/>
    <x v="0"/>
    <x v="126"/>
    <s v="INV-2127"/>
    <x v="126"/>
    <x v="2"/>
    <n v="7"/>
  </r>
  <r>
    <x v="44"/>
    <x v="2"/>
    <x v="1"/>
    <x v="0"/>
    <x v="127"/>
    <s v="INV-2128"/>
    <x v="127"/>
    <x v="0"/>
    <n v="22"/>
  </r>
  <r>
    <x v="110"/>
    <x v="3"/>
    <x v="4"/>
    <x v="1"/>
    <x v="128"/>
    <s v="INV-2129"/>
    <x v="128"/>
    <x v="2"/>
    <n v="15"/>
  </r>
  <r>
    <x v="43"/>
    <x v="3"/>
    <x v="4"/>
    <x v="3"/>
    <x v="129"/>
    <s v="INV-2130"/>
    <x v="129"/>
    <x v="1"/>
    <n v="11"/>
  </r>
  <r>
    <x v="26"/>
    <x v="1"/>
    <x v="1"/>
    <x v="0"/>
    <x v="130"/>
    <s v="INV-2131"/>
    <x v="130"/>
    <x v="1"/>
    <n v="22"/>
  </r>
  <r>
    <x v="111"/>
    <x v="3"/>
    <x v="1"/>
    <x v="1"/>
    <x v="131"/>
    <s v="INV-2132"/>
    <x v="131"/>
    <x v="1"/>
    <n v="24"/>
  </r>
  <r>
    <x v="112"/>
    <x v="0"/>
    <x v="0"/>
    <x v="2"/>
    <x v="132"/>
    <s v="INV-2133"/>
    <x v="132"/>
    <x v="2"/>
    <n v="17"/>
  </r>
  <r>
    <x v="113"/>
    <x v="3"/>
    <x v="1"/>
    <x v="2"/>
    <x v="133"/>
    <s v="INV-2134"/>
    <x v="133"/>
    <x v="1"/>
    <n v="22"/>
  </r>
  <r>
    <x v="114"/>
    <x v="4"/>
    <x v="2"/>
    <x v="0"/>
    <x v="134"/>
    <s v="INV-2135"/>
    <x v="134"/>
    <x v="1"/>
    <n v="14"/>
  </r>
  <r>
    <x v="115"/>
    <x v="0"/>
    <x v="4"/>
    <x v="2"/>
    <x v="135"/>
    <s v="INV-2136"/>
    <x v="135"/>
    <x v="0"/>
    <n v="5"/>
  </r>
  <r>
    <x v="116"/>
    <x v="1"/>
    <x v="4"/>
    <x v="4"/>
    <x v="136"/>
    <s v="INV-2137"/>
    <x v="136"/>
    <x v="2"/>
    <n v="22"/>
  </r>
  <r>
    <x v="117"/>
    <x v="0"/>
    <x v="2"/>
    <x v="3"/>
    <x v="137"/>
    <s v="INV-2138"/>
    <x v="137"/>
    <x v="2"/>
    <n v="13"/>
  </r>
  <r>
    <x v="98"/>
    <x v="1"/>
    <x v="4"/>
    <x v="3"/>
    <x v="138"/>
    <s v="INV-2139"/>
    <x v="138"/>
    <x v="2"/>
    <n v="15"/>
  </r>
  <r>
    <x v="118"/>
    <x v="3"/>
    <x v="0"/>
    <x v="3"/>
    <x v="139"/>
    <s v="INV-2140"/>
    <x v="139"/>
    <x v="0"/>
    <n v="8"/>
  </r>
  <r>
    <x v="81"/>
    <x v="3"/>
    <x v="1"/>
    <x v="4"/>
    <x v="140"/>
    <s v="INV-2141"/>
    <x v="140"/>
    <x v="1"/>
    <n v="15"/>
  </r>
  <r>
    <x v="47"/>
    <x v="3"/>
    <x v="3"/>
    <x v="3"/>
    <x v="141"/>
    <s v="INV-2142"/>
    <x v="141"/>
    <x v="2"/>
    <n v="21"/>
  </r>
  <r>
    <x v="119"/>
    <x v="2"/>
    <x v="4"/>
    <x v="2"/>
    <x v="142"/>
    <s v="INV-2143"/>
    <x v="142"/>
    <x v="2"/>
    <n v="10"/>
  </r>
  <r>
    <x v="120"/>
    <x v="0"/>
    <x v="1"/>
    <x v="4"/>
    <x v="143"/>
    <s v="INV-2144"/>
    <x v="143"/>
    <x v="0"/>
    <n v="10"/>
  </r>
  <r>
    <x v="121"/>
    <x v="0"/>
    <x v="4"/>
    <x v="0"/>
    <x v="144"/>
    <s v="INV-2145"/>
    <x v="144"/>
    <x v="1"/>
    <n v="15"/>
  </r>
  <r>
    <x v="51"/>
    <x v="3"/>
    <x v="3"/>
    <x v="2"/>
    <x v="145"/>
    <s v="INV-2146"/>
    <x v="145"/>
    <x v="0"/>
    <n v="4"/>
  </r>
  <r>
    <x v="122"/>
    <x v="1"/>
    <x v="4"/>
    <x v="2"/>
    <x v="146"/>
    <s v="INV-2147"/>
    <x v="146"/>
    <x v="0"/>
    <n v="24"/>
  </r>
  <r>
    <x v="123"/>
    <x v="4"/>
    <x v="0"/>
    <x v="2"/>
    <x v="147"/>
    <s v="INV-2148"/>
    <x v="147"/>
    <x v="1"/>
    <n v="17"/>
  </r>
  <r>
    <x v="124"/>
    <x v="2"/>
    <x v="4"/>
    <x v="3"/>
    <x v="148"/>
    <s v="INV-2149"/>
    <x v="148"/>
    <x v="2"/>
    <n v="17"/>
  </r>
  <r>
    <x v="0"/>
    <x v="3"/>
    <x v="4"/>
    <x v="1"/>
    <x v="149"/>
    <s v="INV-2150"/>
    <x v="149"/>
    <x v="2"/>
    <n v="15"/>
  </r>
  <r>
    <x v="119"/>
    <x v="3"/>
    <x v="4"/>
    <x v="4"/>
    <x v="150"/>
    <s v="INV-2151"/>
    <x v="150"/>
    <x v="2"/>
    <n v="19"/>
  </r>
  <r>
    <x v="125"/>
    <x v="0"/>
    <x v="4"/>
    <x v="4"/>
    <x v="151"/>
    <s v="INV-2152"/>
    <x v="151"/>
    <x v="0"/>
    <n v="18"/>
  </r>
  <r>
    <x v="126"/>
    <x v="4"/>
    <x v="0"/>
    <x v="3"/>
    <x v="152"/>
    <s v="INV-2153"/>
    <x v="152"/>
    <x v="1"/>
    <n v="15"/>
  </r>
  <r>
    <x v="23"/>
    <x v="2"/>
    <x v="3"/>
    <x v="3"/>
    <x v="153"/>
    <s v="INV-2154"/>
    <x v="153"/>
    <x v="0"/>
    <n v="5"/>
  </r>
  <r>
    <x v="127"/>
    <x v="0"/>
    <x v="1"/>
    <x v="4"/>
    <x v="154"/>
    <s v="INV-2155"/>
    <x v="154"/>
    <x v="0"/>
    <n v="25"/>
  </r>
  <r>
    <x v="128"/>
    <x v="3"/>
    <x v="3"/>
    <x v="3"/>
    <x v="155"/>
    <s v="INV-2156"/>
    <x v="155"/>
    <x v="1"/>
    <n v="16"/>
  </r>
  <r>
    <x v="129"/>
    <x v="3"/>
    <x v="4"/>
    <x v="4"/>
    <x v="156"/>
    <s v="INV-2157"/>
    <x v="156"/>
    <x v="0"/>
    <n v="6"/>
  </r>
  <r>
    <x v="6"/>
    <x v="4"/>
    <x v="3"/>
    <x v="4"/>
    <x v="157"/>
    <s v="INV-2158"/>
    <x v="157"/>
    <x v="2"/>
    <n v="11"/>
  </r>
  <r>
    <x v="89"/>
    <x v="1"/>
    <x v="4"/>
    <x v="4"/>
    <x v="158"/>
    <s v="INV-2159"/>
    <x v="158"/>
    <x v="1"/>
    <n v="18"/>
  </r>
  <r>
    <x v="130"/>
    <x v="1"/>
    <x v="1"/>
    <x v="2"/>
    <x v="159"/>
    <s v="INV-2160"/>
    <x v="159"/>
    <x v="2"/>
    <n v="24"/>
  </r>
  <r>
    <x v="131"/>
    <x v="3"/>
    <x v="0"/>
    <x v="3"/>
    <x v="160"/>
    <s v="INV-2161"/>
    <x v="160"/>
    <x v="2"/>
    <n v="7"/>
  </r>
  <r>
    <x v="132"/>
    <x v="1"/>
    <x v="1"/>
    <x v="2"/>
    <x v="161"/>
    <s v="INV-2162"/>
    <x v="161"/>
    <x v="2"/>
    <n v="24"/>
  </r>
  <r>
    <x v="25"/>
    <x v="3"/>
    <x v="2"/>
    <x v="0"/>
    <x v="162"/>
    <s v="INV-2163"/>
    <x v="162"/>
    <x v="1"/>
    <n v="15"/>
  </r>
  <r>
    <x v="133"/>
    <x v="2"/>
    <x v="4"/>
    <x v="0"/>
    <x v="163"/>
    <s v="INV-2164"/>
    <x v="163"/>
    <x v="2"/>
    <n v="6"/>
  </r>
  <r>
    <x v="134"/>
    <x v="1"/>
    <x v="2"/>
    <x v="4"/>
    <x v="164"/>
    <s v="INV-2165"/>
    <x v="164"/>
    <x v="1"/>
    <n v="4"/>
  </r>
  <r>
    <x v="135"/>
    <x v="3"/>
    <x v="2"/>
    <x v="2"/>
    <x v="165"/>
    <s v="INV-2166"/>
    <x v="165"/>
    <x v="2"/>
    <n v="3"/>
  </r>
  <r>
    <x v="136"/>
    <x v="0"/>
    <x v="2"/>
    <x v="1"/>
    <x v="166"/>
    <s v="INV-2167"/>
    <x v="166"/>
    <x v="0"/>
    <n v="8"/>
  </r>
  <r>
    <x v="137"/>
    <x v="4"/>
    <x v="2"/>
    <x v="4"/>
    <x v="167"/>
    <s v="INV-2168"/>
    <x v="167"/>
    <x v="2"/>
    <n v="23"/>
  </r>
  <r>
    <x v="118"/>
    <x v="0"/>
    <x v="4"/>
    <x v="4"/>
    <x v="168"/>
    <s v="INV-2169"/>
    <x v="168"/>
    <x v="2"/>
    <n v="20"/>
  </r>
  <r>
    <x v="82"/>
    <x v="1"/>
    <x v="2"/>
    <x v="0"/>
    <x v="169"/>
    <s v="INV-2170"/>
    <x v="169"/>
    <x v="1"/>
    <n v="18"/>
  </r>
  <r>
    <x v="138"/>
    <x v="3"/>
    <x v="3"/>
    <x v="1"/>
    <x v="170"/>
    <s v="INV-2171"/>
    <x v="170"/>
    <x v="2"/>
    <n v="25"/>
  </r>
  <r>
    <x v="139"/>
    <x v="0"/>
    <x v="3"/>
    <x v="1"/>
    <x v="171"/>
    <s v="INV-2172"/>
    <x v="171"/>
    <x v="2"/>
    <n v="13"/>
  </r>
  <r>
    <x v="109"/>
    <x v="3"/>
    <x v="0"/>
    <x v="3"/>
    <x v="172"/>
    <s v="INV-2173"/>
    <x v="172"/>
    <x v="2"/>
    <n v="6"/>
  </r>
  <r>
    <x v="140"/>
    <x v="2"/>
    <x v="1"/>
    <x v="4"/>
    <x v="173"/>
    <s v="INV-2174"/>
    <x v="173"/>
    <x v="2"/>
    <n v="9"/>
  </r>
  <r>
    <x v="90"/>
    <x v="4"/>
    <x v="3"/>
    <x v="1"/>
    <x v="174"/>
    <s v="INV-2175"/>
    <x v="174"/>
    <x v="0"/>
    <n v="17"/>
  </r>
  <r>
    <x v="141"/>
    <x v="0"/>
    <x v="2"/>
    <x v="1"/>
    <x v="175"/>
    <s v="INV-2176"/>
    <x v="175"/>
    <x v="2"/>
    <n v="7"/>
  </r>
  <r>
    <x v="64"/>
    <x v="3"/>
    <x v="3"/>
    <x v="0"/>
    <x v="176"/>
    <s v="INV-2177"/>
    <x v="176"/>
    <x v="0"/>
    <n v="12"/>
  </r>
  <r>
    <x v="142"/>
    <x v="3"/>
    <x v="0"/>
    <x v="1"/>
    <x v="177"/>
    <s v="INV-2178"/>
    <x v="177"/>
    <x v="1"/>
    <n v="12"/>
  </r>
  <r>
    <x v="79"/>
    <x v="1"/>
    <x v="4"/>
    <x v="0"/>
    <x v="178"/>
    <s v="INV-2179"/>
    <x v="178"/>
    <x v="2"/>
    <n v="16"/>
  </r>
  <r>
    <x v="143"/>
    <x v="3"/>
    <x v="1"/>
    <x v="4"/>
    <x v="179"/>
    <s v="INV-2180"/>
    <x v="179"/>
    <x v="2"/>
    <n v="3"/>
  </r>
  <r>
    <x v="144"/>
    <x v="2"/>
    <x v="1"/>
    <x v="4"/>
    <x v="180"/>
    <s v="INV-2181"/>
    <x v="180"/>
    <x v="0"/>
    <n v="3"/>
  </r>
  <r>
    <x v="145"/>
    <x v="3"/>
    <x v="1"/>
    <x v="1"/>
    <x v="181"/>
    <s v="INV-2182"/>
    <x v="181"/>
    <x v="1"/>
    <n v="6"/>
  </r>
  <r>
    <x v="146"/>
    <x v="2"/>
    <x v="1"/>
    <x v="3"/>
    <x v="182"/>
    <s v="INV-2183"/>
    <x v="182"/>
    <x v="2"/>
    <n v="20"/>
  </r>
  <r>
    <x v="19"/>
    <x v="3"/>
    <x v="3"/>
    <x v="4"/>
    <x v="183"/>
    <s v="INV-2184"/>
    <x v="183"/>
    <x v="1"/>
    <n v="9"/>
  </r>
  <r>
    <x v="147"/>
    <x v="3"/>
    <x v="0"/>
    <x v="2"/>
    <x v="184"/>
    <s v="INV-2185"/>
    <x v="184"/>
    <x v="0"/>
    <n v="12"/>
  </r>
  <r>
    <x v="148"/>
    <x v="1"/>
    <x v="4"/>
    <x v="1"/>
    <x v="185"/>
    <s v="INV-2186"/>
    <x v="185"/>
    <x v="1"/>
    <n v="2"/>
  </r>
  <r>
    <x v="149"/>
    <x v="3"/>
    <x v="4"/>
    <x v="1"/>
    <x v="186"/>
    <s v="INV-2187"/>
    <x v="186"/>
    <x v="0"/>
    <n v="6"/>
  </r>
  <r>
    <x v="107"/>
    <x v="1"/>
    <x v="0"/>
    <x v="1"/>
    <x v="187"/>
    <s v="INV-2188"/>
    <x v="187"/>
    <x v="2"/>
    <n v="13"/>
  </r>
  <r>
    <x v="150"/>
    <x v="4"/>
    <x v="0"/>
    <x v="2"/>
    <x v="188"/>
    <s v="INV-2189"/>
    <x v="188"/>
    <x v="1"/>
    <n v="11"/>
  </r>
  <r>
    <x v="151"/>
    <x v="4"/>
    <x v="3"/>
    <x v="3"/>
    <x v="189"/>
    <s v="INV-2190"/>
    <x v="189"/>
    <x v="0"/>
    <n v="21"/>
  </r>
  <r>
    <x v="75"/>
    <x v="3"/>
    <x v="1"/>
    <x v="2"/>
    <x v="190"/>
    <s v="INV-2191"/>
    <x v="190"/>
    <x v="1"/>
    <n v="24"/>
  </r>
  <r>
    <x v="152"/>
    <x v="4"/>
    <x v="2"/>
    <x v="4"/>
    <x v="191"/>
    <s v="INV-2192"/>
    <x v="191"/>
    <x v="2"/>
    <n v="10"/>
  </r>
  <r>
    <x v="153"/>
    <x v="2"/>
    <x v="4"/>
    <x v="3"/>
    <x v="192"/>
    <s v="INV-2193"/>
    <x v="192"/>
    <x v="0"/>
    <n v="3"/>
  </r>
  <r>
    <x v="150"/>
    <x v="1"/>
    <x v="4"/>
    <x v="1"/>
    <x v="193"/>
    <s v="INV-2194"/>
    <x v="193"/>
    <x v="2"/>
    <n v="15"/>
  </r>
  <r>
    <x v="151"/>
    <x v="0"/>
    <x v="4"/>
    <x v="0"/>
    <x v="194"/>
    <s v="INV-2195"/>
    <x v="194"/>
    <x v="2"/>
    <n v="24"/>
  </r>
  <r>
    <x v="37"/>
    <x v="3"/>
    <x v="2"/>
    <x v="0"/>
    <x v="195"/>
    <s v="INV-2196"/>
    <x v="195"/>
    <x v="2"/>
    <n v="19"/>
  </r>
  <r>
    <x v="111"/>
    <x v="4"/>
    <x v="2"/>
    <x v="1"/>
    <x v="196"/>
    <s v="INV-2197"/>
    <x v="196"/>
    <x v="0"/>
    <n v="14"/>
  </r>
  <r>
    <x v="154"/>
    <x v="2"/>
    <x v="0"/>
    <x v="1"/>
    <x v="197"/>
    <s v="INV-2198"/>
    <x v="197"/>
    <x v="0"/>
    <n v="19"/>
  </r>
  <r>
    <x v="52"/>
    <x v="4"/>
    <x v="1"/>
    <x v="3"/>
    <x v="198"/>
    <s v="INV-2199"/>
    <x v="198"/>
    <x v="2"/>
    <n v="2"/>
  </r>
  <r>
    <x v="155"/>
    <x v="4"/>
    <x v="4"/>
    <x v="4"/>
    <x v="199"/>
    <s v="INV-2200"/>
    <x v="199"/>
    <x v="2"/>
    <n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735F7D-E256-4F23-9D2E-0D982693554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45:P51" firstHeaderRow="1" firstDataRow="1" firstDataCol="1"/>
  <pivotFields count="9">
    <pivotField showAll="0"/>
    <pivotField axis="axisRow" showAll="0">
      <items count="6">
        <item x="0"/>
        <item x="1"/>
        <item x="2"/>
        <item x="4"/>
        <item x="3"/>
        <item t="default"/>
      </items>
    </pivotField>
    <pivotField showAll="0"/>
    <pivotField showAll="0"/>
    <pivotField showAll="0"/>
    <pivotField showAll="0"/>
    <pivotField dataField="1" showAll="0"/>
    <pivotField showAll="0">
      <items count="4">
        <item x="0"/>
        <item x="1"/>
        <item x="2"/>
        <item t="default"/>
      </items>
    </pivotField>
    <pivotField showAll="0"/>
  </pivotFields>
  <rowFields count="1">
    <field x="1"/>
  </rowFields>
  <rowItems count="6">
    <i>
      <x/>
    </i>
    <i>
      <x v="1"/>
    </i>
    <i>
      <x v="2"/>
    </i>
    <i>
      <x v="3"/>
    </i>
    <i>
      <x v="4"/>
    </i>
    <i t="grand">
      <x/>
    </i>
  </rowItems>
  <colItems count="1">
    <i/>
  </colItems>
  <dataFields count="1">
    <dataField name="Sum of Amount"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7BBD58-A719-457E-9EB2-3D0799A763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23:P27" firstHeaderRow="1" firstDataRow="1" firstDataCol="1"/>
  <pivotFields count="9">
    <pivotField showAll="0"/>
    <pivotField showAll="0">
      <items count="6">
        <item x="0"/>
        <item x="1"/>
        <item x="2"/>
        <item x="4"/>
        <item x="3"/>
        <item t="default"/>
      </items>
    </pivotField>
    <pivotField showAll="0"/>
    <pivotField showAll="0"/>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axis="axisRow" showAll="0">
      <items count="4">
        <item x="0"/>
        <item x="1"/>
        <item x="2"/>
        <item t="default"/>
      </items>
    </pivotField>
    <pivotField showAll="0"/>
  </pivotFields>
  <rowFields count="1">
    <field x="7"/>
  </rowFields>
  <rowItems count="4">
    <i>
      <x/>
    </i>
    <i>
      <x v="1"/>
    </i>
    <i>
      <x v="2"/>
    </i>
    <i t="grand">
      <x/>
    </i>
  </rowItems>
  <colItems count="1">
    <i/>
  </colItems>
  <dataFields count="1">
    <dataField name="Count of PO No" fld="4"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4A330C-2837-4480-B90D-9AB35D03B9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2:P8" firstHeaderRow="1" firstDataRow="1" firstDataCol="1"/>
  <pivotFields count="9">
    <pivotField showAll="0"/>
    <pivotField showAll="0">
      <items count="6">
        <item x="0"/>
        <item x="1"/>
        <item x="2"/>
        <item x="4"/>
        <item x="3"/>
        <item t="default"/>
      </items>
    </pivotField>
    <pivotField showAll="0"/>
    <pivotField axis="axisRow" showAll="0">
      <items count="6">
        <item x="3"/>
        <item x="1"/>
        <item x="4"/>
        <item x="0"/>
        <item x="2"/>
        <item t="default"/>
      </items>
    </pivotField>
    <pivotField showAll="0"/>
    <pivotField showAll="0"/>
    <pivotField dataField="1" showAll="0"/>
    <pivotField showAll="0">
      <items count="4">
        <item x="0"/>
        <item x="1"/>
        <item x="2"/>
        <item t="default"/>
      </items>
    </pivotField>
    <pivotField showAll="0"/>
  </pivotFields>
  <rowFields count="1">
    <field x="3"/>
  </rowFields>
  <rowItems count="6">
    <i>
      <x/>
    </i>
    <i>
      <x v="1"/>
    </i>
    <i>
      <x v="2"/>
    </i>
    <i>
      <x v="3"/>
    </i>
    <i>
      <x v="4"/>
    </i>
    <i t="grand">
      <x/>
    </i>
  </rowItems>
  <colItems count="1">
    <i/>
  </colItems>
  <dataFields count="1">
    <dataField name="Sum of Amount" fld="6" baseField="3"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309F4C-EC36-46D7-8401-F5AA3A8CC7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176" firstHeaderRow="1" firstDataRow="1" firstDataCol="1"/>
  <pivotFields count="9">
    <pivotField axis="axisRow" showAll="0">
      <items count="157">
        <item x="25"/>
        <item x="56"/>
        <item x="116"/>
        <item x="29"/>
        <item x="106"/>
        <item x="134"/>
        <item x="79"/>
        <item x="118"/>
        <item x="146"/>
        <item x="83"/>
        <item x="65"/>
        <item x="125"/>
        <item x="68"/>
        <item x="108"/>
        <item x="107"/>
        <item x="117"/>
        <item x="8"/>
        <item x="71"/>
        <item x="121"/>
        <item x="35"/>
        <item x="37"/>
        <item x="139"/>
        <item x="3"/>
        <item x="45"/>
        <item x="103"/>
        <item x="42"/>
        <item x="46"/>
        <item x="0"/>
        <item x="32"/>
        <item x="74"/>
        <item x="6"/>
        <item x="15"/>
        <item x="22"/>
        <item x="153"/>
        <item x="93"/>
        <item x="91"/>
        <item x="133"/>
        <item x="11"/>
        <item x="19"/>
        <item x="53"/>
        <item x="113"/>
        <item x="111"/>
        <item x="34"/>
        <item x="128"/>
        <item x="36"/>
        <item x="90"/>
        <item x="24"/>
        <item x="61"/>
        <item x="18"/>
        <item x="148"/>
        <item x="92"/>
        <item x="81"/>
        <item x="73"/>
        <item x="58"/>
        <item x="85"/>
        <item x="39"/>
        <item x="10"/>
        <item x="94"/>
        <item x="105"/>
        <item x="60"/>
        <item x="16"/>
        <item x="102"/>
        <item x="115"/>
        <item x="145"/>
        <item x="38"/>
        <item x="77"/>
        <item x="88"/>
        <item x="1"/>
        <item x="131"/>
        <item x="84"/>
        <item x="40"/>
        <item x="119"/>
        <item x="82"/>
        <item x="154"/>
        <item x="129"/>
        <item x="76"/>
        <item x="141"/>
        <item x="124"/>
        <item x="33"/>
        <item x="41"/>
        <item x="87"/>
        <item x="97"/>
        <item x="72"/>
        <item x="137"/>
        <item x="12"/>
        <item x="13"/>
        <item x="54"/>
        <item x="136"/>
        <item x="89"/>
        <item x="62"/>
        <item x="14"/>
        <item x="126"/>
        <item x="142"/>
        <item x="2"/>
        <item x="149"/>
        <item x="123"/>
        <item x="48"/>
        <item x="17"/>
        <item x="86"/>
        <item x="104"/>
        <item x="122"/>
        <item x="130"/>
        <item x="120"/>
        <item x="143"/>
        <item x="101"/>
        <item x="140"/>
        <item x="4"/>
        <item x="55"/>
        <item x="95"/>
        <item x="144"/>
        <item x="151"/>
        <item x="78"/>
        <item x="138"/>
        <item x="96"/>
        <item x="64"/>
        <item x="152"/>
        <item x="21"/>
        <item x="27"/>
        <item x="135"/>
        <item x="67"/>
        <item x="69"/>
        <item x="112"/>
        <item x="110"/>
        <item x="7"/>
        <item x="9"/>
        <item x="63"/>
        <item x="99"/>
        <item x="47"/>
        <item x="28"/>
        <item x="98"/>
        <item x="20"/>
        <item x="80"/>
        <item x="155"/>
        <item x="51"/>
        <item x="127"/>
        <item x="114"/>
        <item x="57"/>
        <item x="26"/>
        <item x="66"/>
        <item x="70"/>
        <item x="5"/>
        <item x="109"/>
        <item x="43"/>
        <item x="23"/>
        <item x="132"/>
        <item x="59"/>
        <item x="52"/>
        <item x="49"/>
        <item x="44"/>
        <item x="100"/>
        <item x="75"/>
        <item x="147"/>
        <item x="150"/>
        <item x="30"/>
        <item x="31"/>
        <item x="50"/>
        <item t="default"/>
      </items>
    </pivotField>
    <pivotField showAll="0">
      <items count="6">
        <item x="0"/>
        <item x="1"/>
        <item x="2"/>
        <item x="4"/>
        <item x="3"/>
        <item t="default"/>
      </items>
    </pivotField>
    <pivotField showAll="0"/>
    <pivotField showAll="0"/>
    <pivotField showAll="0"/>
    <pivotField showAll="0"/>
    <pivotField dataField="1" showAll="0"/>
    <pivotField showAll="0">
      <items count="4">
        <item x="0"/>
        <item x="1"/>
        <item x="2"/>
        <item t="default"/>
      </items>
    </pivotField>
    <pivotField showAll="0"/>
  </pivotFields>
  <rowFields count="1">
    <field x="0"/>
  </rowFields>
  <rowItems count="1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t="grand">
      <x/>
    </i>
  </rowItems>
  <colItems count="1">
    <i/>
  </colItems>
  <dataFields count="1">
    <dataField name="Sum of Amount" fld="6"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262DFF-2838-4544-944D-3281577A57F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9">
    <pivotField showAll="0"/>
    <pivotField showAll="0">
      <items count="6">
        <item x="0"/>
        <item h="1" x="1"/>
        <item h="1" x="2"/>
        <item h="1" x="4"/>
        <item h="1" x="3"/>
        <item t="default"/>
      </items>
    </pivotField>
    <pivotField showAll="0">
      <items count="6">
        <item x="0"/>
        <item x="2"/>
        <item x="3"/>
        <item x="4"/>
        <item x="1"/>
        <item t="default"/>
      </items>
    </pivotField>
    <pivotField showAll="0">
      <items count="6">
        <item x="3"/>
        <item x="1"/>
        <item x="4"/>
        <item x="0"/>
        <item x="2"/>
        <item t="default"/>
      </items>
    </pivotField>
    <pivotField showAll="0"/>
    <pivotField showAll="0"/>
    <pivotField showAll="0">
      <items count="201">
        <item x="91"/>
        <item x="15"/>
        <item x="90"/>
        <item x="86"/>
        <item x="177"/>
        <item x="140"/>
        <item x="151"/>
        <item x="196"/>
        <item x="1"/>
        <item x="160"/>
        <item x="57"/>
        <item x="23"/>
        <item x="77"/>
        <item x="55"/>
        <item x="65"/>
        <item x="3"/>
        <item x="131"/>
        <item x="122"/>
        <item x="29"/>
        <item x="167"/>
        <item x="106"/>
        <item x="158"/>
        <item x="181"/>
        <item x="26"/>
        <item x="51"/>
        <item x="187"/>
        <item x="198"/>
        <item x="146"/>
        <item x="48"/>
        <item x="164"/>
        <item x="123"/>
        <item x="180"/>
        <item x="108"/>
        <item x="136"/>
        <item x="87"/>
        <item x="103"/>
        <item x="174"/>
        <item x="117"/>
        <item x="138"/>
        <item x="130"/>
        <item x="195"/>
        <item x="186"/>
        <item x="193"/>
        <item x="21"/>
        <item x="6"/>
        <item x="172"/>
        <item x="168"/>
        <item x="7"/>
        <item x="4"/>
        <item x="45"/>
        <item x="96"/>
        <item x="147"/>
        <item x="98"/>
        <item x="71"/>
        <item x="83"/>
        <item x="33"/>
        <item x="143"/>
        <item x="50"/>
        <item x="133"/>
        <item x="74"/>
        <item x="89"/>
        <item x="105"/>
        <item x="142"/>
        <item x="54"/>
        <item x="191"/>
        <item x="100"/>
        <item x="70"/>
        <item x="41"/>
        <item x="145"/>
        <item x="42"/>
        <item x="141"/>
        <item x="190"/>
        <item x="39"/>
        <item x="9"/>
        <item x="192"/>
        <item x="102"/>
        <item x="66"/>
        <item x="101"/>
        <item x="93"/>
        <item x="76"/>
        <item x="8"/>
        <item x="194"/>
        <item x="22"/>
        <item x="184"/>
        <item x="11"/>
        <item x="75"/>
        <item x="80"/>
        <item x="10"/>
        <item x="127"/>
        <item x="157"/>
        <item x="30"/>
        <item x="118"/>
        <item x="52"/>
        <item x="170"/>
        <item x="28"/>
        <item x="126"/>
        <item x="58"/>
        <item x="116"/>
        <item x="38"/>
        <item x="25"/>
        <item x="99"/>
        <item x="14"/>
        <item x="150"/>
        <item x="46"/>
        <item x="129"/>
        <item x="36"/>
        <item x="199"/>
        <item x="40"/>
        <item x="53"/>
        <item x="68"/>
        <item x="32"/>
        <item x="112"/>
        <item x="92"/>
        <item x="56"/>
        <item x="27"/>
        <item x="185"/>
        <item x="135"/>
        <item x="85"/>
        <item x="111"/>
        <item x="69"/>
        <item x="2"/>
        <item x="79"/>
        <item x="97"/>
        <item x="197"/>
        <item x="149"/>
        <item x="84"/>
        <item x="62"/>
        <item x="72"/>
        <item x="18"/>
        <item x="148"/>
        <item x="47"/>
        <item x="61"/>
        <item x="161"/>
        <item x="59"/>
        <item x="107"/>
        <item x="113"/>
        <item x="153"/>
        <item x="124"/>
        <item x="44"/>
        <item x="114"/>
        <item x="178"/>
        <item x="63"/>
        <item x="139"/>
        <item x="175"/>
        <item x="169"/>
        <item x="19"/>
        <item x="49"/>
        <item x="173"/>
        <item x="188"/>
        <item x="125"/>
        <item x="183"/>
        <item x="159"/>
        <item x="64"/>
        <item x="154"/>
        <item x="144"/>
        <item x="152"/>
        <item x="165"/>
        <item x="31"/>
        <item x="179"/>
        <item x="20"/>
        <item x="16"/>
        <item x="182"/>
        <item x="155"/>
        <item x="81"/>
        <item x="0"/>
        <item x="121"/>
        <item x="189"/>
        <item x="60"/>
        <item x="17"/>
        <item x="78"/>
        <item x="162"/>
        <item x="24"/>
        <item x="73"/>
        <item x="120"/>
        <item x="119"/>
        <item x="163"/>
        <item x="104"/>
        <item x="110"/>
        <item x="37"/>
        <item x="82"/>
        <item x="95"/>
        <item x="134"/>
        <item x="43"/>
        <item x="166"/>
        <item x="5"/>
        <item x="109"/>
        <item x="94"/>
        <item x="34"/>
        <item x="67"/>
        <item x="156"/>
        <item x="115"/>
        <item x="176"/>
        <item x="132"/>
        <item x="12"/>
        <item x="171"/>
        <item x="137"/>
        <item x="128"/>
        <item x="35"/>
        <item x="13"/>
        <item x="88"/>
        <item t="default"/>
      </items>
    </pivotField>
    <pivotField showAll="0">
      <items count="4">
        <item x="0"/>
        <item x="1"/>
        <item x="2"/>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C28CE047-F8DC-431D-B01E-04107DE9A285}" sourceName="Vendor">
  <pivotTables>
    <pivotTable tabId="6" name="PivotTable6"/>
  </pivotTables>
  <data>
    <tabular pivotCacheId="1445437770">
      <items count="5">
        <i x="0" s="1"/>
        <i x="2"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F646A1-318C-4677-82DA-F4E1390DD3D0}" sourceName="Category">
  <pivotTables>
    <pivotTable tabId="6" name="PivotTable6"/>
  </pivotTables>
  <data>
    <tabular pivotCacheId="1445437770">
      <items count="5">
        <i x="3" s="1"/>
        <i x="1" s="1"/>
        <i x="4"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177DF39-DF10-423E-99AF-1EAF9260F925}" sourceName="Status">
  <pivotTables>
    <pivotTable tabId="6" name="PivotTable6"/>
  </pivotTables>
  <data>
    <tabular pivotCacheId="144543777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ssel" xr10:uid="{018EEB2A-5132-41B9-B510-BB17FC30BF53}" sourceName="Vessel">
  <pivotTables>
    <pivotTable tabId="6" name="PivotTable6"/>
  </pivotTables>
  <data>
    <tabular pivotCacheId="1445437770" customListSort="0" showMissing="0" crossFilter="none">
      <items count="5">
        <i x="0" s="1"/>
        <i x="1"/>
        <i x="2"/>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7FCDDA1-E465-4F6F-96E8-068E04D9C5AC}" cache="Slicer_Category" caption="Category" rowHeight="234950"/>
  <slicer name="Status 1" xr10:uid="{0EFCDE91-6320-4406-8DF0-53C77C5AB536}" cache="Slicer_Status" caption="Status" rowHeight="234950"/>
  <slicer name="Vessel" xr10:uid="{B74C3FCC-26C3-4E56-9A5F-23A5BD0A4203}" cache="Slicer_Vessel" caption="Vessel" rowHeight="234950"/>
  <slicer name="Vessel 2" xr10:uid="{2E1FA7C1-1EDB-4EAA-B448-D8E3C0113FC7}" cache="Slicer_Vessel" caption="Vess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xr10:uid="{01FDD435-054C-4330-99B1-48B09C08E79D}" cache="Slicer_Vendor" caption="Vendor" rowHeight="234950"/>
  <slicer name="Category" xr10:uid="{6F5EEBCE-87C0-4A14-8895-7BCF441DF05B}" cache="Slicer_Category" caption="Category" rowHeight="234950"/>
  <slicer name="Status" xr10:uid="{DF3C2FCB-38B6-4C15-8A5E-6253C3266131}" cache="Slicer_Status" caption="Status" rowHeight="234950"/>
  <slicer name="Vessel 1" xr10:uid="{3B6B1D33-BA4C-4F8B-86C4-9BE2F2B5E7F4}" cache="Slicer_Vessel" caption="Vess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ritimeData" displayName="MaritimeData" ref="A1:I201">
  <autoFilter ref="A1:I201" xr:uid="{00000000-0009-0000-0100-000001000000}"/>
  <tableColumns count="9">
    <tableColumn id="1" xr3:uid="{00000000-0010-0000-0000-000001000000}" name="Date"/>
    <tableColumn id="2" xr3:uid="{00000000-0010-0000-0000-000002000000}" name="Vessel"/>
    <tableColumn id="3" xr3:uid="{00000000-0010-0000-0000-000003000000}" name="Vendor"/>
    <tableColumn id="4" xr3:uid="{00000000-0010-0000-0000-000004000000}" name="Category"/>
    <tableColumn id="5" xr3:uid="{00000000-0010-0000-0000-000005000000}" name="PO No"/>
    <tableColumn id="6" xr3:uid="{00000000-0010-0000-0000-000006000000}" name="Invoice No"/>
    <tableColumn id="7" xr3:uid="{00000000-0010-0000-0000-000007000000}" name="Amount"/>
    <tableColumn id="8" xr3:uid="{00000000-0010-0000-0000-000008000000}" name="Status"/>
    <tableColumn id="9" xr3:uid="{00000000-0010-0000-0000-000009000000}" name="Delivery Day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workbookViewId="0">
      <selection activeCell="A4" sqref="A4"/>
    </sheetView>
  </sheetViews>
  <sheetFormatPr defaultRowHeight="14.4" x14ac:dyDescent="0.3"/>
  <cols>
    <col min="1" max="1" width="82.109375" bestFit="1" customWidth="1"/>
  </cols>
  <sheetData>
    <row r="1" spans="1:1" ht="28.8" x14ac:dyDescent="0.55000000000000004">
      <c r="A1" s="1" t="s">
        <v>0</v>
      </c>
    </row>
    <row r="3" spans="1:1" x14ac:dyDescent="0.3">
      <c r="A3" t="s">
        <v>1</v>
      </c>
    </row>
    <row r="4" spans="1:1" x14ac:dyDescent="0.3">
      <c r="A4" t="s">
        <v>2</v>
      </c>
    </row>
    <row r="6" spans="1:1" x14ac:dyDescent="0.3">
      <c r="A6" t="s">
        <v>3</v>
      </c>
    </row>
    <row r="7" spans="1:1" x14ac:dyDescent="0.3">
      <c r="A7" t="s">
        <v>4</v>
      </c>
    </row>
    <row r="8" spans="1:1" x14ac:dyDescent="0.3">
      <c r="A8" t="s">
        <v>5</v>
      </c>
    </row>
    <row r="9" spans="1:1" x14ac:dyDescent="0.3">
      <c r="A9" t="s">
        <v>6</v>
      </c>
    </row>
    <row r="10" spans="1:1" x14ac:dyDescent="0.3">
      <c r="A10" t="s">
        <v>7</v>
      </c>
    </row>
    <row r="11" spans="1:1" x14ac:dyDescent="0.3">
      <c r="A11" t="s">
        <v>8</v>
      </c>
    </row>
    <row r="13" spans="1:1" x14ac:dyDescent="0.3">
      <c r="A13" t="s">
        <v>9</v>
      </c>
    </row>
    <row r="14" spans="1:1" x14ac:dyDescent="0.3">
      <c r="A14" t="s">
        <v>10</v>
      </c>
    </row>
    <row r="15" spans="1:1" x14ac:dyDescent="0.3">
      <c r="A15" t="s">
        <v>11</v>
      </c>
    </row>
    <row r="16" spans="1:1" x14ac:dyDescent="0.3">
      <c r="A16" t="s">
        <v>12</v>
      </c>
    </row>
    <row r="17" spans="1:1" x14ac:dyDescent="0.3">
      <c r="A17"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DB21-922D-4A9E-96CE-C00A2B392CC3}">
  <dimension ref="D1:U39"/>
  <sheetViews>
    <sheetView showGridLines="0" tabSelected="1" topLeftCell="C1" zoomScale="68" zoomScaleNormal="68" workbookViewId="0">
      <selection activeCell="D2" sqref="D2"/>
    </sheetView>
  </sheetViews>
  <sheetFormatPr defaultRowHeight="14.4" x14ac:dyDescent="0.3"/>
  <cols>
    <col min="4" max="4" width="32.109375" customWidth="1"/>
    <col min="7" max="7" width="20.109375" customWidth="1"/>
    <col min="11" max="11" width="20" customWidth="1"/>
    <col min="15" max="15" width="23.33203125" customWidth="1"/>
  </cols>
  <sheetData>
    <row r="1" spans="4:21" ht="28.8" x14ac:dyDescent="0.55000000000000004">
      <c r="D1" s="19"/>
    </row>
    <row r="2" spans="4:21" ht="28.8" x14ac:dyDescent="0.55000000000000004">
      <c r="D2" s="21" t="s">
        <v>14</v>
      </c>
      <c r="E2" s="22"/>
      <c r="F2" s="22"/>
      <c r="G2" s="22"/>
      <c r="H2" s="22"/>
      <c r="I2" s="22"/>
      <c r="J2" s="22"/>
      <c r="K2" s="22"/>
      <c r="L2" s="22"/>
      <c r="M2" s="22"/>
      <c r="N2" s="22"/>
      <c r="O2" s="22"/>
      <c r="P2" s="22"/>
      <c r="Q2" s="22"/>
      <c r="R2" s="22"/>
      <c r="S2" s="22"/>
      <c r="T2" s="22"/>
      <c r="U2" s="23"/>
    </row>
    <row r="3" spans="4:21" s="18" customFormat="1" ht="33.6" customHeight="1" x14ac:dyDescent="0.3">
      <c r="D3" s="24" t="s">
        <v>613</v>
      </c>
      <c r="U3" s="25"/>
    </row>
    <row r="4" spans="4:21" ht="3.6" customHeight="1" thickBot="1" x14ac:dyDescent="0.45">
      <c r="D4" s="26"/>
      <c r="U4" s="27"/>
    </row>
    <row r="5" spans="4:21" ht="24" customHeight="1" thickBot="1" x14ac:dyDescent="0.35">
      <c r="D5" s="28"/>
      <c r="E5" s="40" t="s">
        <v>15</v>
      </c>
      <c r="F5" s="41"/>
      <c r="G5" s="42"/>
      <c r="I5" s="46" t="s">
        <v>614</v>
      </c>
      <c r="J5" s="47"/>
      <c r="K5" s="48"/>
      <c r="M5" s="32" t="s">
        <v>24</v>
      </c>
      <c r="N5" s="33"/>
      <c r="O5" s="34"/>
      <c r="Q5" s="37" t="s">
        <v>25</v>
      </c>
      <c r="R5" s="38"/>
      <c r="S5" s="38"/>
      <c r="T5" s="39"/>
      <c r="U5" s="27"/>
    </row>
    <row r="6" spans="4:21" ht="21.6" thickBot="1" x14ac:dyDescent="0.35">
      <c r="D6" s="28"/>
      <c r="E6" s="43">
        <f>SUM(Procurement_Data!G2:G201)</f>
        <v>26058143</v>
      </c>
      <c r="F6" s="44"/>
      <c r="G6" s="45"/>
      <c r="I6" s="46">
        <f>COUNTA(Procurement_Data!E1:E201)</f>
        <v>201</v>
      </c>
      <c r="J6" s="49"/>
      <c r="K6" s="50"/>
      <c r="M6" s="32">
        <v>83</v>
      </c>
      <c r="N6" s="35"/>
      <c r="O6" s="36"/>
      <c r="Q6" s="37">
        <v>200</v>
      </c>
      <c r="R6" s="38"/>
      <c r="S6" s="38"/>
      <c r="T6" s="39"/>
      <c r="U6" s="27"/>
    </row>
    <row r="7" spans="4:21" x14ac:dyDescent="0.3">
      <c r="D7" s="28"/>
      <c r="U7" s="27"/>
    </row>
    <row r="8" spans="4:21" x14ac:dyDescent="0.3">
      <c r="D8" s="28"/>
      <c r="U8" s="27"/>
    </row>
    <row r="9" spans="4:21" x14ac:dyDescent="0.3">
      <c r="D9" s="28"/>
      <c r="U9" s="27"/>
    </row>
    <row r="10" spans="4:21" x14ac:dyDescent="0.3">
      <c r="D10" s="28"/>
      <c r="U10" s="27"/>
    </row>
    <row r="11" spans="4:21" x14ac:dyDescent="0.3">
      <c r="D11" s="28"/>
      <c r="U11" s="27"/>
    </row>
    <row r="12" spans="4:21" x14ac:dyDescent="0.3">
      <c r="D12" s="28"/>
      <c r="U12" s="27"/>
    </row>
    <row r="13" spans="4:21" x14ac:dyDescent="0.3">
      <c r="D13" s="28"/>
      <c r="U13" s="27"/>
    </row>
    <row r="14" spans="4:21" x14ac:dyDescent="0.3">
      <c r="D14" s="28"/>
      <c r="U14" s="27"/>
    </row>
    <row r="15" spans="4:21" x14ac:dyDescent="0.3">
      <c r="D15" s="28"/>
      <c r="U15" s="27"/>
    </row>
    <row r="16" spans="4:21" x14ac:dyDescent="0.3">
      <c r="D16" s="28"/>
      <c r="U16" s="27"/>
    </row>
    <row r="17" spans="4:21" x14ac:dyDescent="0.3">
      <c r="D17" s="28"/>
      <c r="U17" s="27"/>
    </row>
    <row r="18" spans="4:21" x14ac:dyDescent="0.3">
      <c r="D18" s="28"/>
      <c r="U18" s="27"/>
    </row>
    <row r="19" spans="4:21" x14ac:dyDescent="0.3">
      <c r="D19" s="28"/>
      <c r="U19" s="27"/>
    </row>
    <row r="20" spans="4:21" x14ac:dyDescent="0.3">
      <c r="D20" s="28"/>
      <c r="U20" s="27"/>
    </row>
    <row r="21" spans="4:21" x14ac:dyDescent="0.3">
      <c r="D21" s="28"/>
      <c r="U21" s="27"/>
    </row>
    <row r="22" spans="4:21" x14ac:dyDescent="0.3">
      <c r="D22" s="28"/>
      <c r="U22" s="27"/>
    </row>
    <row r="23" spans="4:21" x14ac:dyDescent="0.3">
      <c r="D23" s="28"/>
      <c r="U23" s="27"/>
    </row>
    <row r="24" spans="4:21" x14ac:dyDescent="0.3">
      <c r="D24" s="28"/>
      <c r="U24" s="27"/>
    </row>
    <row r="25" spans="4:21" x14ac:dyDescent="0.3">
      <c r="D25" s="28"/>
      <c r="U25" s="27"/>
    </row>
    <row r="26" spans="4:21" x14ac:dyDescent="0.3">
      <c r="D26" s="28"/>
      <c r="U26" s="27"/>
    </row>
    <row r="27" spans="4:21" x14ac:dyDescent="0.3">
      <c r="D27" s="28"/>
      <c r="U27" s="27"/>
    </row>
    <row r="28" spans="4:21" x14ac:dyDescent="0.3">
      <c r="D28" s="28"/>
      <c r="U28" s="27"/>
    </row>
    <row r="29" spans="4:21" x14ac:dyDescent="0.3">
      <c r="D29" s="28"/>
      <c r="U29" s="27"/>
    </row>
    <row r="30" spans="4:21" x14ac:dyDescent="0.3">
      <c r="D30" s="28"/>
      <c r="U30" s="27"/>
    </row>
    <row r="31" spans="4:21" x14ac:dyDescent="0.3">
      <c r="D31" s="28"/>
      <c r="U31" s="27"/>
    </row>
    <row r="32" spans="4:21" x14ac:dyDescent="0.3">
      <c r="D32" s="28"/>
      <c r="U32" s="27"/>
    </row>
    <row r="33" spans="4:21" x14ac:dyDescent="0.3">
      <c r="D33" s="28"/>
      <c r="U33" s="27"/>
    </row>
    <row r="34" spans="4:21" x14ac:dyDescent="0.3">
      <c r="D34" s="28"/>
      <c r="U34" s="27"/>
    </row>
    <row r="35" spans="4:21" x14ac:dyDescent="0.3">
      <c r="D35" s="28"/>
      <c r="U35" s="27"/>
    </row>
    <row r="36" spans="4:21" x14ac:dyDescent="0.3">
      <c r="D36" s="28"/>
      <c r="U36" s="27"/>
    </row>
    <row r="37" spans="4:21" x14ac:dyDescent="0.3">
      <c r="D37" s="28"/>
      <c r="U37" s="27"/>
    </row>
    <row r="38" spans="4:21" x14ac:dyDescent="0.3">
      <c r="D38" s="28"/>
      <c r="U38" s="27"/>
    </row>
    <row r="39" spans="4:21" x14ac:dyDescent="0.3">
      <c r="D39" s="29"/>
      <c r="E39" s="30"/>
      <c r="F39" s="30"/>
      <c r="G39" s="30"/>
      <c r="H39" s="30"/>
      <c r="I39" s="30"/>
      <c r="J39" s="30"/>
      <c r="K39" s="30"/>
      <c r="L39" s="30"/>
      <c r="M39" s="30"/>
      <c r="N39" s="30"/>
      <c r="O39" s="30"/>
      <c r="P39" s="30"/>
      <c r="Q39" s="30"/>
      <c r="R39" s="30"/>
      <c r="S39" s="30"/>
      <c r="T39" s="30"/>
      <c r="U39" s="31"/>
    </row>
  </sheetData>
  <mergeCells count="8">
    <mergeCell ref="M5:O5"/>
    <mergeCell ref="M6:O6"/>
    <mergeCell ref="Q5:T5"/>
    <mergeCell ref="Q6:T6"/>
    <mergeCell ref="E5:G5"/>
    <mergeCell ref="E6:G6"/>
    <mergeCell ref="I5:K5"/>
    <mergeCell ref="I6:K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1"/>
  <sheetViews>
    <sheetView workbookViewId="0">
      <pane ySplit="1" topLeftCell="A2" activePane="bottomLeft" state="frozen"/>
      <selection pane="bottomLeft" activeCell="B2" sqref="B2"/>
    </sheetView>
  </sheetViews>
  <sheetFormatPr defaultRowHeight="14.4" x14ac:dyDescent="0.3"/>
  <cols>
    <col min="1" max="1" width="17" customWidth="1"/>
    <col min="2" max="2" width="15" customWidth="1"/>
    <col min="3" max="3" width="18" customWidth="1"/>
    <col min="4" max="4" width="17" customWidth="1"/>
    <col min="5" max="5" width="11" customWidth="1"/>
    <col min="6" max="6" width="14" customWidth="1"/>
    <col min="7" max="7" width="10" customWidth="1"/>
    <col min="8" max="8" width="14" customWidth="1"/>
    <col min="9" max="9" width="17" customWidth="1"/>
  </cols>
  <sheetData>
    <row r="1" spans="1:9" x14ac:dyDescent="0.3">
      <c r="A1" s="3" t="s">
        <v>33</v>
      </c>
      <c r="B1" s="17" t="s">
        <v>16</v>
      </c>
      <c r="C1" s="3" t="s">
        <v>34</v>
      </c>
      <c r="D1" s="3" t="s">
        <v>26</v>
      </c>
      <c r="E1" s="3" t="s">
        <v>35</v>
      </c>
      <c r="F1" s="3" t="s">
        <v>36</v>
      </c>
      <c r="G1" s="3" t="s">
        <v>27</v>
      </c>
      <c r="H1" s="3" t="s">
        <v>37</v>
      </c>
      <c r="I1" s="3" t="s">
        <v>38</v>
      </c>
    </row>
    <row r="2" spans="1:9" x14ac:dyDescent="0.3">
      <c r="A2" t="s">
        <v>39</v>
      </c>
      <c r="B2" t="s">
        <v>18</v>
      </c>
      <c r="C2" t="s">
        <v>40</v>
      </c>
      <c r="D2" t="s">
        <v>31</v>
      </c>
      <c r="E2" t="s">
        <v>41</v>
      </c>
      <c r="F2" t="s">
        <v>42</v>
      </c>
      <c r="G2">
        <v>198871</v>
      </c>
      <c r="H2" t="s">
        <v>43</v>
      </c>
      <c r="I2">
        <v>12</v>
      </c>
    </row>
    <row r="3" spans="1:9" x14ac:dyDescent="0.3">
      <c r="A3" t="s">
        <v>44</v>
      </c>
      <c r="B3" t="s">
        <v>19</v>
      </c>
      <c r="C3" t="s">
        <v>40</v>
      </c>
      <c r="D3" t="s">
        <v>29</v>
      </c>
      <c r="E3" t="s">
        <v>45</v>
      </c>
      <c r="F3" t="s">
        <v>46</v>
      </c>
      <c r="G3">
        <v>21926</v>
      </c>
      <c r="H3" t="s">
        <v>47</v>
      </c>
      <c r="I3">
        <v>12</v>
      </c>
    </row>
    <row r="4" spans="1:9" x14ac:dyDescent="0.3">
      <c r="A4" t="s">
        <v>48</v>
      </c>
      <c r="B4" t="s">
        <v>21</v>
      </c>
      <c r="C4" t="s">
        <v>40</v>
      </c>
      <c r="D4" t="s">
        <v>29</v>
      </c>
      <c r="E4" t="s">
        <v>49</v>
      </c>
      <c r="F4" t="s">
        <v>50</v>
      </c>
      <c r="G4">
        <v>153556</v>
      </c>
      <c r="H4" t="s">
        <v>47</v>
      </c>
      <c r="I4">
        <v>9</v>
      </c>
    </row>
    <row r="5" spans="1:9" x14ac:dyDescent="0.3">
      <c r="A5" t="s">
        <v>51</v>
      </c>
      <c r="B5" t="s">
        <v>21</v>
      </c>
      <c r="C5" t="s">
        <v>52</v>
      </c>
      <c r="D5" t="s">
        <v>32</v>
      </c>
      <c r="E5" t="s">
        <v>53</v>
      </c>
      <c r="F5" t="s">
        <v>54</v>
      </c>
      <c r="G5">
        <v>34023</v>
      </c>
      <c r="H5" t="s">
        <v>55</v>
      </c>
      <c r="I5">
        <v>2</v>
      </c>
    </row>
    <row r="6" spans="1:9" x14ac:dyDescent="0.3">
      <c r="A6" t="s">
        <v>56</v>
      </c>
      <c r="B6" t="s">
        <v>21</v>
      </c>
      <c r="C6" t="s">
        <v>57</v>
      </c>
      <c r="D6" t="s">
        <v>29</v>
      </c>
      <c r="E6" t="s">
        <v>58</v>
      </c>
      <c r="F6" t="s">
        <v>59</v>
      </c>
      <c r="G6">
        <v>77977</v>
      </c>
      <c r="H6" t="s">
        <v>47</v>
      </c>
      <c r="I6">
        <v>9</v>
      </c>
    </row>
    <row r="7" spans="1:9" x14ac:dyDescent="0.3">
      <c r="A7" t="s">
        <v>60</v>
      </c>
      <c r="B7" t="s">
        <v>23</v>
      </c>
      <c r="C7" t="s">
        <v>61</v>
      </c>
      <c r="D7" t="s">
        <v>28</v>
      </c>
      <c r="E7" t="s">
        <v>62</v>
      </c>
      <c r="F7" t="s">
        <v>63</v>
      </c>
      <c r="G7">
        <v>233368</v>
      </c>
      <c r="H7" t="s">
        <v>55</v>
      </c>
      <c r="I7">
        <v>10</v>
      </c>
    </row>
    <row r="8" spans="1:9" x14ac:dyDescent="0.3">
      <c r="A8" t="s">
        <v>64</v>
      </c>
      <c r="B8" t="s">
        <v>19</v>
      </c>
      <c r="C8" t="s">
        <v>52</v>
      </c>
      <c r="D8" t="s">
        <v>30</v>
      </c>
      <c r="E8" t="s">
        <v>65</v>
      </c>
      <c r="F8" t="s">
        <v>66</v>
      </c>
      <c r="G8">
        <v>73746</v>
      </c>
      <c r="H8" t="s">
        <v>55</v>
      </c>
      <c r="I8">
        <v>5</v>
      </c>
    </row>
    <row r="9" spans="1:9" x14ac:dyDescent="0.3">
      <c r="A9" t="s">
        <v>67</v>
      </c>
      <c r="B9" t="s">
        <v>23</v>
      </c>
      <c r="C9" t="s">
        <v>40</v>
      </c>
      <c r="D9" t="s">
        <v>28</v>
      </c>
      <c r="E9" t="s">
        <v>68</v>
      </c>
      <c r="F9" t="s">
        <v>69</v>
      </c>
      <c r="G9">
        <v>77819</v>
      </c>
      <c r="H9" t="s">
        <v>43</v>
      </c>
      <c r="I9">
        <v>10</v>
      </c>
    </row>
    <row r="10" spans="1:9" x14ac:dyDescent="0.3">
      <c r="A10" t="s">
        <v>70</v>
      </c>
      <c r="B10" t="s">
        <v>23</v>
      </c>
      <c r="C10" t="s">
        <v>57</v>
      </c>
      <c r="D10" t="s">
        <v>32</v>
      </c>
      <c r="E10" t="s">
        <v>71</v>
      </c>
      <c r="F10" t="s">
        <v>72</v>
      </c>
      <c r="G10">
        <v>104778</v>
      </c>
      <c r="H10" t="s">
        <v>43</v>
      </c>
      <c r="I10">
        <v>9</v>
      </c>
    </row>
    <row r="11" spans="1:9" x14ac:dyDescent="0.3">
      <c r="A11" t="s">
        <v>73</v>
      </c>
      <c r="B11" t="s">
        <v>23</v>
      </c>
      <c r="C11" t="s">
        <v>61</v>
      </c>
      <c r="D11" t="s">
        <v>30</v>
      </c>
      <c r="E11" t="s">
        <v>74</v>
      </c>
      <c r="F11" t="s">
        <v>75</v>
      </c>
      <c r="G11">
        <v>100171</v>
      </c>
      <c r="H11" t="s">
        <v>55</v>
      </c>
      <c r="I11">
        <v>18</v>
      </c>
    </row>
    <row r="12" spans="1:9" x14ac:dyDescent="0.3">
      <c r="A12" t="s">
        <v>76</v>
      </c>
      <c r="B12" t="s">
        <v>21</v>
      </c>
      <c r="C12" t="s">
        <v>52</v>
      </c>
      <c r="D12" t="s">
        <v>32</v>
      </c>
      <c r="E12" t="s">
        <v>77</v>
      </c>
      <c r="F12" t="s">
        <v>78</v>
      </c>
      <c r="G12">
        <v>116021</v>
      </c>
      <c r="H12" t="s">
        <v>47</v>
      </c>
      <c r="I12">
        <v>2</v>
      </c>
    </row>
    <row r="13" spans="1:9" x14ac:dyDescent="0.3">
      <c r="A13" t="s">
        <v>79</v>
      </c>
      <c r="B13" t="s">
        <v>18</v>
      </c>
      <c r="C13" t="s">
        <v>40</v>
      </c>
      <c r="D13" t="s">
        <v>32</v>
      </c>
      <c r="E13" t="s">
        <v>80</v>
      </c>
      <c r="F13" t="s">
        <v>81</v>
      </c>
      <c r="G13">
        <v>110093</v>
      </c>
      <c r="H13" t="s">
        <v>43</v>
      </c>
      <c r="I13">
        <v>5</v>
      </c>
    </row>
    <row r="14" spans="1:9" x14ac:dyDescent="0.3">
      <c r="A14" t="s">
        <v>39</v>
      </c>
      <c r="B14" t="s">
        <v>19</v>
      </c>
      <c r="C14" t="s">
        <v>57</v>
      </c>
      <c r="D14" t="s">
        <v>30</v>
      </c>
      <c r="E14" t="s">
        <v>82</v>
      </c>
      <c r="F14" t="s">
        <v>83</v>
      </c>
      <c r="G14">
        <v>243119</v>
      </c>
      <c r="H14" t="s">
        <v>47</v>
      </c>
      <c r="I14">
        <v>5</v>
      </c>
    </row>
    <row r="15" spans="1:9" x14ac:dyDescent="0.3">
      <c r="A15" t="s">
        <v>84</v>
      </c>
      <c r="B15" t="s">
        <v>22</v>
      </c>
      <c r="C15" t="s">
        <v>57</v>
      </c>
      <c r="D15" t="s">
        <v>32</v>
      </c>
      <c r="E15" t="s">
        <v>85</v>
      </c>
      <c r="F15" t="s">
        <v>86</v>
      </c>
      <c r="G15">
        <v>247460</v>
      </c>
      <c r="H15" t="s">
        <v>47</v>
      </c>
      <c r="I15">
        <v>6</v>
      </c>
    </row>
    <row r="16" spans="1:9" x14ac:dyDescent="0.3">
      <c r="A16" t="s">
        <v>87</v>
      </c>
      <c r="B16" t="s">
        <v>18</v>
      </c>
      <c r="C16" t="s">
        <v>57</v>
      </c>
      <c r="D16" t="s">
        <v>28</v>
      </c>
      <c r="E16" t="s">
        <v>88</v>
      </c>
      <c r="F16" t="s">
        <v>89</v>
      </c>
      <c r="G16">
        <v>131388</v>
      </c>
      <c r="H16" t="s">
        <v>43</v>
      </c>
      <c r="I16">
        <v>6</v>
      </c>
    </row>
    <row r="17" spans="1:9" x14ac:dyDescent="0.3">
      <c r="A17" t="s">
        <v>90</v>
      </c>
      <c r="B17" t="s">
        <v>19</v>
      </c>
      <c r="C17" t="s">
        <v>91</v>
      </c>
      <c r="D17" t="s">
        <v>30</v>
      </c>
      <c r="E17" t="s">
        <v>92</v>
      </c>
      <c r="F17" t="s">
        <v>93</v>
      </c>
      <c r="G17">
        <v>10616</v>
      </c>
      <c r="H17" t="s">
        <v>55</v>
      </c>
      <c r="I17">
        <v>9</v>
      </c>
    </row>
    <row r="18" spans="1:9" x14ac:dyDescent="0.3">
      <c r="A18" t="s">
        <v>94</v>
      </c>
      <c r="B18" t="s">
        <v>18</v>
      </c>
      <c r="C18" t="s">
        <v>40</v>
      </c>
      <c r="D18" t="s">
        <v>31</v>
      </c>
      <c r="E18" t="s">
        <v>95</v>
      </c>
      <c r="F18" t="s">
        <v>96</v>
      </c>
      <c r="G18">
        <v>194230</v>
      </c>
      <c r="H18" t="s">
        <v>47</v>
      </c>
      <c r="I18">
        <v>12</v>
      </c>
    </row>
    <row r="19" spans="1:9" x14ac:dyDescent="0.3">
      <c r="A19" t="s">
        <v>97</v>
      </c>
      <c r="B19" t="s">
        <v>19</v>
      </c>
      <c r="C19" t="s">
        <v>61</v>
      </c>
      <c r="D19" t="s">
        <v>30</v>
      </c>
      <c r="E19" t="s">
        <v>98</v>
      </c>
      <c r="F19" t="s">
        <v>99</v>
      </c>
      <c r="G19">
        <v>203936</v>
      </c>
      <c r="H19" t="s">
        <v>55</v>
      </c>
      <c r="I19">
        <v>22</v>
      </c>
    </row>
    <row r="20" spans="1:9" x14ac:dyDescent="0.3">
      <c r="A20" t="s">
        <v>100</v>
      </c>
      <c r="B20" t="s">
        <v>23</v>
      </c>
      <c r="C20" t="s">
        <v>61</v>
      </c>
      <c r="D20" t="s">
        <v>28</v>
      </c>
      <c r="E20" t="s">
        <v>101</v>
      </c>
      <c r="F20" t="s">
        <v>102</v>
      </c>
      <c r="G20">
        <v>160341</v>
      </c>
      <c r="H20" t="s">
        <v>55</v>
      </c>
      <c r="I20">
        <v>16</v>
      </c>
    </row>
    <row r="21" spans="1:9" x14ac:dyDescent="0.3">
      <c r="A21" t="s">
        <v>103</v>
      </c>
      <c r="B21" t="s">
        <v>21</v>
      </c>
      <c r="C21" t="s">
        <v>91</v>
      </c>
      <c r="D21" t="s">
        <v>29</v>
      </c>
      <c r="E21" t="s">
        <v>104</v>
      </c>
      <c r="F21" t="s">
        <v>105</v>
      </c>
      <c r="G21">
        <v>177828</v>
      </c>
      <c r="H21" t="s">
        <v>55</v>
      </c>
      <c r="I21">
        <v>19</v>
      </c>
    </row>
    <row r="22" spans="1:9" x14ac:dyDescent="0.3">
      <c r="A22" t="s">
        <v>106</v>
      </c>
      <c r="B22" t="s">
        <v>22</v>
      </c>
      <c r="C22" t="s">
        <v>61</v>
      </c>
      <c r="D22" t="s">
        <v>32</v>
      </c>
      <c r="E22" t="s">
        <v>107</v>
      </c>
      <c r="F22" t="s">
        <v>108</v>
      </c>
      <c r="G22">
        <v>193070</v>
      </c>
      <c r="H22" t="s">
        <v>47</v>
      </c>
      <c r="I22">
        <v>6</v>
      </c>
    </row>
    <row r="23" spans="1:9" x14ac:dyDescent="0.3">
      <c r="A23" t="s">
        <v>109</v>
      </c>
      <c r="B23" t="s">
        <v>18</v>
      </c>
      <c r="C23" t="s">
        <v>57</v>
      </c>
      <c r="D23" t="s">
        <v>28</v>
      </c>
      <c r="E23" t="s">
        <v>110</v>
      </c>
      <c r="F23" t="s">
        <v>111</v>
      </c>
      <c r="G23">
        <v>70710</v>
      </c>
      <c r="H23" t="s">
        <v>55</v>
      </c>
      <c r="I23">
        <v>13</v>
      </c>
    </row>
    <row r="24" spans="1:9" x14ac:dyDescent="0.3">
      <c r="A24" t="s">
        <v>112</v>
      </c>
      <c r="B24" t="s">
        <v>18</v>
      </c>
      <c r="C24" t="s">
        <v>52</v>
      </c>
      <c r="D24" t="s">
        <v>28</v>
      </c>
      <c r="E24" t="s">
        <v>113</v>
      </c>
      <c r="F24" t="s">
        <v>114</v>
      </c>
      <c r="G24">
        <v>107101</v>
      </c>
      <c r="H24" t="s">
        <v>55</v>
      </c>
      <c r="I24">
        <v>7</v>
      </c>
    </row>
    <row r="25" spans="1:9" x14ac:dyDescent="0.3">
      <c r="A25" t="s">
        <v>115</v>
      </c>
      <c r="B25" t="s">
        <v>18</v>
      </c>
      <c r="C25" t="s">
        <v>57</v>
      </c>
      <c r="D25" t="s">
        <v>28</v>
      </c>
      <c r="E25" t="s">
        <v>116</v>
      </c>
      <c r="F25" t="s">
        <v>117</v>
      </c>
      <c r="G25">
        <v>26593</v>
      </c>
      <c r="H25" t="s">
        <v>43</v>
      </c>
      <c r="I25">
        <v>10</v>
      </c>
    </row>
    <row r="26" spans="1:9" x14ac:dyDescent="0.3">
      <c r="A26" t="s">
        <v>70</v>
      </c>
      <c r="B26" t="s">
        <v>23</v>
      </c>
      <c r="C26" t="s">
        <v>52</v>
      </c>
      <c r="D26" t="s">
        <v>31</v>
      </c>
      <c r="E26" t="s">
        <v>118</v>
      </c>
      <c r="F26" t="s">
        <v>119</v>
      </c>
      <c r="G26">
        <v>209315</v>
      </c>
      <c r="H26" t="s">
        <v>55</v>
      </c>
      <c r="I26">
        <v>3</v>
      </c>
    </row>
    <row r="27" spans="1:9" x14ac:dyDescent="0.3">
      <c r="A27" t="s">
        <v>120</v>
      </c>
      <c r="B27" t="s">
        <v>19</v>
      </c>
      <c r="C27" t="s">
        <v>61</v>
      </c>
      <c r="D27" t="s">
        <v>28</v>
      </c>
      <c r="E27" t="s">
        <v>121</v>
      </c>
      <c r="F27" t="s">
        <v>122</v>
      </c>
      <c r="G27">
        <v>129602</v>
      </c>
      <c r="H27" t="s">
        <v>55</v>
      </c>
      <c r="I27">
        <v>11</v>
      </c>
    </row>
    <row r="28" spans="1:9" x14ac:dyDescent="0.3">
      <c r="A28" t="s">
        <v>123</v>
      </c>
      <c r="B28" t="s">
        <v>22</v>
      </c>
      <c r="C28" t="s">
        <v>40</v>
      </c>
      <c r="D28" t="s">
        <v>31</v>
      </c>
      <c r="E28" t="s">
        <v>124</v>
      </c>
      <c r="F28" t="s">
        <v>125</v>
      </c>
      <c r="G28">
        <v>39677</v>
      </c>
      <c r="H28" t="s">
        <v>55</v>
      </c>
      <c r="I28">
        <v>21</v>
      </c>
    </row>
    <row r="29" spans="1:9" x14ac:dyDescent="0.3">
      <c r="A29" t="s">
        <v>126</v>
      </c>
      <c r="B29" t="s">
        <v>23</v>
      </c>
      <c r="C29" t="s">
        <v>40</v>
      </c>
      <c r="D29" t="s">
        <v>28</v>
      </c>
      <c r="E29" t="s">
        <v>127</v>
      </c>
      <c r="F29" t="s">
        <v>128</v>
      </c>
      <c r="G29">
        <v>148661</v>
      </c>
      <c r="H29" t="s">
        <v>47</v>
      </c>
      <c r="I29">
        <v>3</v>
      </c>
    </row>
    <row r="30" spans="1:9" x14ac:dyDescent="0.3">
      <c r="A30" t="s">
        <v>129</v>
      </c>
      <c r="B30" t="s">
        <v>18</v>
      </c>
      <c r="C30" t="s">
        <v>57</v>
      </c>
      <c r="D30" t="s">
        <v>28</v>
      </c>
      <c r="E30" t="s">
        <v>130</v>
      </c>
      <c r="F30" t="s">
        <v>131</v>
      </c>
      <c r="G30">
        <v>125029</v>
      </c>
      <c r="H30" t="s">
        <v>47</v>
      </c>
      <c r="I30">
        <v>8</v>
      </c>
    </row>
    <row r="31" spans="1:9" x14ac:dyDescent="0.3">
      <c r="A31" t="s">
        <v>132</v>
      </c>
      <c r="B31" t="s">
        <v>18</v>
      </c>
      <c r="C31" t="s">
        <v>40</v>
      </c>
      <c r="D31" t="s">
        <v>31</v>
      </c>
      <c r="E31" t="s">
        <v>133</v>
      </c>
      <c r="F31" t="s">
        <v>134</v>
      </c>
      <c r="G31">
        <v>35109</v>
      </c>
      <c r="H31" t="s">
        <v>55</v>
      </c>
      <c r="I31">
        <v>24</v>
      </c>
    </row>
    <row r="32" spans="1:9" x14ac:dyDescent="0.3">
      <c r="A32" t="s">
        <v>135</v>
      </c>
      <c r="B32" t="s">
        <v>23</v>
      </c>
      <c r="C32" t="s">
        <v>52</v>
      </c>
      <c r="D32" t="s">
        <v>30</v>
      </c>
      <c r="E32" t="s">
        <v>136</v>
      </c>
      <c r="F32" t="s">
        <v>137</v>
      </c>
      <c r="G32">
        <v>119197</v>
      </c>
      <c r="H32" t="s">
        <v>47</v>
      </c>
      <c r="I32">
        <v>24</v>
      </c>
    </row>
    <row r="33" spans="1:9" x14ac:dyDescent="0.3">
      <c r="A33" t="s">
        <v>138</v>
      </c>
      <c r="B33" t="s">
        <v>18</v>
      </c>
      <c r="C33" t="s">
        <v>61</v>
      </c>
      <c r="D33" t="s">
        <v>29</v>
      </c>
      <c r="E33" t="s">
        <v>139</v>
      </c>
      <c r="F33" t="s">
        <v>140</v>
      </c>
      <c r="G33">
        <v>190878</v>
      </c>
      <c r="H33" t="s">
        <v>43</v>
      </c>
      <c r="I33">
        <v>13</v>
      </c>
    </row>
    <row r="34" spans="1:9" x14ac:dyDescent="0.3">
      <c r="A34" t="s">
        <v>141</v>
      </c>
      <c r="B34" t="s">
        <v>23</v>
      </c>
      <c r="C34" t="s">
        <v>52</v>
      </c>
      <c r="D34" t="s">
        <v>32</v>
      </c>
      <c r="E34" t="s">
        <v>142</v>
      </c>
      <c r="F34" t="s">
        <v>143</v>
      </c>
      <c r="G34">
        <v>143369</v>
      </c>
      <c r="H34" t="s">
        <v>47</v>
      </c>
      <c r="I34">
        <v>16</v>
      </c>
    </row>
    <row r="35" spans="1:9" x14ac:dyDescent="0.3">
      <c r="A35" t="s">
        <v>144</v>
      </c>
      <c r="B35" t="s">
        <v>22</v>
      </c>
      <c r="C35" t="s">
        <v>52</v>
      </c>
      <c r="D35" t="s">
        <v>31</v>
      </c>
      <c r="E35" t="s">
        <v>145</v>
      </c>
      <c r="F35" t="s">
        <v>146</v>
      </c>
      <c r="G35">
        <v>80578</v>
      </c>
      <c r="H35" t="s">
        <v>43</v>
      </c>
      <c r="I35">
        <v>3</v>
      </c>
    </row>
    <row r="36" spans="1:9" x14ac:dyDescent="0.3">
      <c r="A36" t="s">
        <v>147</v>
      </c>
      <c r="B36" t="s">
        <v>21</v>
      </c>
      <c r="C36" t="s">
        <v>57</v>
      </c>
      <c r="D36" t="s">
        <v>32</v>
      </c>
      <c r="E36" t="s">
        <v>148</v>
      </c>
      <c r="F36" t="s">
        <v>149</v>
      </c>
      <c r="G36">
        <v>237459</v>
      </c>
      <c r="H36" t="s">
        <v>43</v>
      </c>
      <c r="I36">
        <v>4</v>
      </c>
    </row>
    <row r="37" spans="1:9" x14ac:dyDescent="0.3">
      <c r="A37" t="s">
        <v>150</v>
      </c>
      <c r="B37" t="s">
        <v>19</v>
      </c>
      <c r="C37" t="s">
        <v>40</v>
      </c>
      <c r="D37" t="s">
        <v>28</v>
      </c>
      <c r="E37" t="s">
        <v>151</v>
      </c>
      <c r="F37" t="s">
        <v>152</v>
      </c>
      <c r="G37">
        <v>246843</v>
      </c>
      <c r="H37" t="s">
        <v>47</v>
      </c>
      <c r="I37">
        <v>3</v>
      </c>
    </row>
    <row r="38" spans="1:9" x14ac:dyDescent="0.3">
      <c r="A38" t="s">
        <v>153</v>
      </c>
      <c r="B38" t="s">
        <v>19</v>
      </c>
      <c r="C38" t="s">
        <v>52</v>
      </c>
      <c r="D38" t="s">
        <v>31</v>
      </c>
      <c r="E38" t="s">
        <v>154</v>
      </c>
      <c r="F38" t="s">
        <v>155</v>
      </c>
      <c r="G38">
        <v>137173</v>
      </c>
      <c r="H38" t="s">
        <v>47</v>
      </c>
      <c r="I38">
        <v>13</v>
      </c>
    </row>
    <row r="39" spans="1:9" x14ac:dyDescent="0.3">
      <c r="A39" t="s">
        <v>156</v>
      </c>
      <c r="B39" t="s">
        <v>18</v>
      </c>
      <c r="C39" t="s">
        <v>91</v>
      </c>
      <c r="D39" t="s">
        <v>29</v>
      </c>
      <c r="E39" t="s">
        <v>157</v>
      </c>
      <c r="F39" t="s">
        <v>158</v>
      </c>
      <c r="G39">
        <v>225448</v>
      </c>
      <c r="H39" t="s">
        <v>43</v>
      </c>
      <c r="I39">
        <v>14</v>
      </c>
    </row>
    <row r="40" spans="1:9" x14ac:dyDescent="0.3">
      <c r="A40" t="s">
        <v>159</v>
      </c>
      <c r="B40" t="s">
        <v>18</v>
      </c>
      <c r="C40" t="s">
        <v>52</v>
      </c>
      <c r="D40" t="s">
        <v>28</v>
      </c>
      <c r="E40" t="s">
        <v>160</v>
      </c>
      <c r="F40" t="s">
        <v>161</v>
      </c>
      <c r="G40">
        <v>128521</v>
      </c>
      <c r="H40" t="s">
        <v>55</v>
      </c>
      <c r="I40">
        <v>25</v>
      </c>
    </row>
    <row r="41" spans="1:9" x14ac:dyDescent="0.3">
      <c r="A41" t="s">
        <v>162</v>
      </c>
      <c r="B41" t="s">
        <v>18</v>
      </c>
      <c r="C41" t="s">
        <v>61</v>
      </c>
      <c r="D41" t="s">
        <v>30</v>
      </c>
      <c r="E41" t="s">
        <v>163</v>
      </c>
      <c r="F41" t="s">
        <v>164</v>
      </c>
      <c r="G41">
        <v>99872</v>
      </c>
      <c r="H41" t="s">
        <v>47</v>
      </c>
      <c r="I41">
        <v>17</v>
      </c>
    </row>
    <row r="42" spans="1:9" x14ac:dyDescent="0.3">
      <c r="A42" t="s">
        <v>44</v>
      </c>
      <c r="B42" t="s">
        <v>19</v>
      </c>
      <c r="C42" t="s">
        <v>61</v>
      </c>
      <c r="D42" t="s">
        <v>32</v>
      </c>
      <c r="E42" t="s">
        <v>165</v>
      </c>
      <c r="F42" t="s">
        <v>166</v>
      </c>
      <c r="G42">
        <v>140826</v>
      </c>
      <c r="H42" t="s">
        <v>43</v>
      </c>
      <c r="I42">
        <v>24</v>
      </c>
    </row>
    <row r="43" spans="1:9" x14ac:dyDescent="0.3">
      <c r="A43" t="s">
        <v>90</v>
      </c>
      <c r="B43" t="s">
        <v>18</v>
      </c>
      <c r="C43" t="s">
        <v>91</v>
      </c>
      <c r="D43" t="s">
        <v>32</v>
      </c>
      <c r="E43" t="s">
        <v>167</v>
      </c>
      <c r="F43" t="s">
        <v>168</v>
      </c>
      <c r="G43">
        <v>94843</v>
      </c>
      <c r="H43" t="s">
        <v>43</v>
      </c>
      <c r="I43">
        <v>20</v>
      </c>
    </row>
    <row r="44" spans="1:9" x14ac:dyDescent="0.3">
      <c r="A44" t="s">
        <v>169</v>
      </c>
      <c r="B44" t="s">
        <v>19</v>
      </c>
      <c r="C44" t="s">
        <v>91</v>
      </c>
      <c r="D44" t="s">
        <v>30</v>
      </c>
      <c r="E44" t="s">
        <v>170</v>
      </c>
      <c r="F44" t="s">
        <v>171</v>
      </c>
      <c r="G44">
        <v>97601</v>
      </c>
      <c r="H44" t="s">
        <v>43</v>
      </c>
      <c r="I44">
        <v>8</v>
      </c>
    </row>
    <row r="45" spans="1:9" x14ac:dyDescent="0.3">
      <c r="A45" t="s">
        <v>172</v>
      </c>
      <c r="B45" t="s">
        <v>18</v>
      </c>
      <c r="C45" t="s">
        <v>52</v>
      </c>
      <c r="D45" t="s">
        <v>28</v>
      </c>
      <c r="E45" t="s">
        <v>173</v>
      </c>
      <c r="F45" t="s">
        <v>174</v>
      </c>
      <c r="G45">
        <v>230414</v>
      </c>
      <c r="H45" t="s">
        <v>55</v>
      </c>
      <c r="I45">
        <v>13</v>
      </c>
    </row>
    <row r="46" spans="1:9" x14ac:dyDescent="0.3">
      <c r="A46" t="s">
        <v>175</v>
      </c>
      <c r="B46" t="s">
        <v>18</v>
      </c>
      <c r="C46" t="s">
        <v>91</v>
      </c>
      <c r="D46" t="s">
        <v>28</v>
      </c>
      <c r="E46" t="s">
        <v>176</v>
      </c>
      <c r="F46" t="s">
        <v>177</v>
      </c>
      <c r="G46">
        <v>170230</v>
      </c>
      <c r="H46" t="s">
        <v>47</v>
      </c>
      <c r="I46">
        <v>23</v>
      </c>
    </row>
    <row r="47" spans="1:9" x14ac:dyDescent="0.3">
      <c r="A47" t="s">
        <v>178</v>
      </c>
      <c r="B47" t="s">
        <v>22</v>
      </c>
      <c r="C47" t="s">
        <v>40</v>
      </c>
      <c r="D47" t="s">
        <v>30</v>
      </c>
      <c r="E47" t="s">
        <v>179</v>
      </c>
      <c r="F47" t="s">
        <v>180</v>
      </c>
      <c r="G47">
        <v>79231</v>
      </c>
      <c r="H47" t="s">
        <v>47</v>
      </c>
      <c r="I47">
        <v>13</v>
      </c>
    </row>
    <row r="48" spans="1:9" x14ac:dyDescent="0.3">
      <c r="A48" t="s">
        <v>67</v>
      </c>
      <c r="B48" t="s">
        <v>22</v>
      </c>
      <c r="C48" t="s">
        <v>91</v>
      </c>
      <c r="D48" t="s">
        <v>31</v>
      </c>
      <c r="E48" t="s">
        <v>181</v>
      </c>
      <c r="F48" t="s">
        <v>182</v>
      </c>
      <c r="G48">
        <v>134711</v>
      </c>
      <c r="H48" t="s">
        <v>47</v>
      </c>
      <c r="I48">
        <v>14</v>
      </c>
    </row>
    <row r="49" spans="1:9" x14ac:dyDescent="0.3">
      <c r="A49" t="s">
        <v>183</v>
      </c>
      <c r="B49" t="s">
        <v>21</v>
      </c>
      <c r="C49" t="s">
        <v>91</v>
      </c>
      <c r="D49" t="s">
        <v>28</v>
      </c>
      <c r="E49" t="s">
        <v>184</v>
      </c>
      <c r="F49" t="s">
        <v>185</v>
      </c>
      <c r="G49">
        <v>161200</v>
      </c>
      <c r="H49" t="s">
        <v>43</v>
      </c>
      <c r="I49">
        <v>17</v>
      </c>
    </row>
    <row r="50" spans="1:9" x14ac:dyDescent="0.3">
      <c r="A50" t="s">
        <v>186</v>
      </c>
      <c r="B50" t="s">
        <v>22</v>
      </c>
      <c r="C50" t="s">
        <v>61</v>
      </c>
      <c r="D50" t="s">
        <v>32</v>
      </c>
      <c r="E50" t="s">
        <v>187</v>
      </c>
      <c r="F50" t="s">
        <v>188</v>
      </c>
      <c r="G50">
        <v>45744</v>
      </c>
      <c r="H50" t="s">
        <v>43</v>
      </c>
      <c r="I50">
        <v>25</v>
      </c>
    </row>
    <row r="51" spans="1:9" x14ac:dyDescent="0.3">
      <c r="A51" t="s">
        <v>189</v>
      </c>
      <c r="B51" t="s">
        <v>19</v>
      </c>
      <c r="C51" t="s">
        <v>61</v>
      </c>
      <c r="D51" t="s">
        <v>31</v>
      </c>
      <c r="E51" t="s">
        <v>190</v>
      </c>
      <c r="F51" t="s">
        <v>191</v>
      </c>
      <c r="G51">
        <v>179531</v>
      </c>
      <c r="H51" t="s">
        <v>55</v>
      </c>
      <c r="I51">
        <v>20</v>
      </c>
    </row>
    <row r="52" spans="1:9" x14ac:dyDescent="0.3">
      <c r="A52" t="s">
        <v>192</v>
      </c>
      <c r="B52" t="s">
        <v>23</v>
      </c>
      <c r="C52" t="s">
        <v>91</v>
      </c>
      <c r="D52" t="s">
        <v>30</v>
      </c>
      <c r="E52" t="s">
        <v>193</v>
      </c>
      <c r="F52" t="s">
        <v>194</v>
      </c>
      <c r="G52">
        <v>83253</v>
      </c>
      <c r="H52" t="s">
        <v>47</v>
      </c>
      <c r="I52">
        <v>21</v>
      </c>
    </row>
    <row r="53" spans="1:9" x14ac:dyDescent="0.3">
      <c r="A53" t="s">
        <v>195</v>
      </c>
      <c r="B53" t="s">
        <v>21</v>
      </c>
      <c r="C53" t="s">
        <v>40</v>
      </c>
      <c r="D53" t="s">
        <v>29</v>
      </c>
      <c r="E53" t="s">
        <v>196</v>
      </c>
      <c r="F53" t="s">
        <v>197</v>
      </c>
      <c r="G53">
        <v>44165</v>
      </c>
      <c r="H53" t="s">
        <v>55</v>
      </c>
      <c r="I53">
        <v>17</v>
      </c>
    </row>
    <row r="54" spans="1:9" x14ac:dyDescent="0.3">
      <c r="A54" t="s">
        <v>198</v>
      </c>
      <c r="B54" t="s">
        <v>23</v>
      </c>
      <c r="C54" t="s">
        <v>61</v>
      </c>
      <c r="D54" t="s">
        <v>30</v>
      </c>
      <c r="E54" t="s">
        <v>199</v>
      </c>
      <c r="F54" t="s">
        <v>200</v>
      </c>
      <c r="G54">
        <v>119808</v>
      </c>
      <c r="H54" t="s">
        <v>47</v>
      </c>
      <c r="I54">
        <v>22</v>
      </c>
    </row>
    <row r="55" spans="1:9" x14ac:dyDescent="0.3">
      <c r="A55" t="s">
        <v>201</v>
      </c>
      <c r="B55" t="s">
        <v>22</v>
      </c>
      <c r="C55" t="s">
        <v>91</v>
      </c>
      <c r="D55" t="s">
        <v>30</v>
      </c>
      <c r="E55" t="s">
        <v>202</v>
      </c>
      <c r="F55" t="s">
        <v>203</v>
      </c>
      <c r="G55">
        <v>141884</v>
      </c>
      <c r="H55" t="s">
        <v>43</v>
      </c>
      <c r="I55">
        <v>2</v>
      </c>
    </row>
    <row r="56" spans="1:9" x14ac:dyDescent="0.3">
      <c r="A56" t="s">
        <v>204</v>
      </c>
      <c r="B56" t="s">
        <v>18</v>
      </c>
      <c r="C56" t="s">
        <v>61</v>
      </c>
      <c r="D56" t="s">
        <v>32</v>
      </c>
      <c r="E56" t="s">
        <v>205</v>
      </c>
      <c r="F56" t="s">
        <v>206</v>
      </c>
      <c r="G56">
        <v>87843</v>
      </c>
      <c r="H56" t="s">
        <v>55</v>
      </c>
      <c r="I56">
        <v>23</v>
      </c>
    </row>
    <row r="57" spans="1:9" x14ac:dyDescent="0.3">
      <c r="A57" t="s">
        <v>207</v>
      </c>
      <c r="B57" t="s">
        <v>18</v>
      </c>
      <c r="C57" t="s">
        <v>91</v>
      </c>
      <c r="D57" t="s">
        <v>31</v>
      </c>
      <c r="E57" t="s">
        <v>208</v>
      </c>
      <c r="F57" t="s">
        <v>209</v>
      </c>
      <c r="G57">
        <v>32999</v>
      </c>
      <c r="H57" t="s">
        <v>43</v>
      </c>
      <c r="I57">
        <v>2</v>
      </c>
    </row>
    <row r="58" spans="1:9" x14ac:dyDescent="0.3">
      <c r="A58" t="s">
        <v>210</v>
      </c>
      <c r="B58" t="s">
        <v>21</v>
      </c>
      <c r="C58" t="s">
        <v>57</v>
      </c>
      <c r="D58" t="s">
        <v>32</v>
      </c>
      <c r="E58" t="s">
        <v>211</v>
      </c>
      <c r="F58" t="s">
        <v>212</v>
      </c>
      <c r="G58">
        <v>147203</v>
      </c>
      <c r="H58" t="s">
        <v>43</v>
      </c>
      <c r="I58">
        <v>5</v>
      </c>
    </row>
    <row r="59" spans="1:9" x14ac:dyDescent="0.3">
      <c r="A59" t="s">
        <v>213</v>
      </c>
      <c r="B59" t="s">
        <v>23</v>
      </c>
      <c r="C59" t="s">
        <v>91</v>
      </c>
      <c r="D59" t="s">
        <v>32</v>
      </c>
      <c r="E59" t="s">
        <v>214</v>
      </c>
      <c r="F59" t="s">
        <v>215</v>
      </c>
      <c r="G59">
        <v>23438</v>
      </c>
      <c r="H59" t="s">
        <v>47</v>
      </c>
      <c r="I59">
        <v>12</v>
      </c>
    </row>
    <row r="60" spans="1:9" x14ac:dyDescent="0.3">
      <c r="A60" t="s">
        <v>216</v>
      </c>
      <c r="B60" t="s">
        <v>23</v>
      </c>
      <c r="C60" t="s">
        <v>61</v>
      </c>
      <c r="D60" t="s">
        <v>32</v>
      </c>
      <c r="E60" t="s">
        <v>217</v>
      </c>
      <c r="F60" t="s">
        <v>218</v>
      </c>
      <c r="G60">
        <v>126330</v>
      </c>
      <c r="H60" t="s">
        <v>55</v>
      </c>
      <c r="I60">
        <v>10</v>
      </c>
    </row>
    <row r="61" spans="1:9" x14ac:dyDescent="0.3">
      <c r="A61" t="s">
        <v>106</v>
      </c>
      <c r="B61" t="s">
        <v>23</v>
      </c>
      <c r="C61" t="s">
        <v>57</v>
      </c>
      <c r="D61" t="s">
        <v>32</v>
      </c>
      <c r="E61" t="s">
        <v>219</v>
      </c>
      <c r="F61" t="s">
        <v>220</v>
      </c>
      <c r="G61">
        <v>165683</v>
      </c>
      <c r="H61" t="s">
        <v>55</v>
      </c>
      <c r="I61">
        <v>15</v>
      </c>
    </row>
    <row r="62" spans="1:9" x14ac:dyDescent="0.3">
      <c r="A62" t="s">
        <v>221</v>
      </c>
      <c r="B62" t="s">
        <v>23</v>
      </c>
      <c r="C62" t="s">
        <v>57</v>
      </c>
      <c r="D62" t="s">
        <v>28</v>
      </c>
      <c r="E62" t="s">
        <v>222</v>
      </c>
      <c r="F62" t="s">
        <v>223</v>
      </c>
      <c r="G62">
        <v>203093</v>
      </c>
      <c r="H62" t="s">
        <v>43</v>
      </c>
      <c r="I62">
        <v>9</v>
      </c>
    </row>
    <row r="63" spans="1:9" x14ac:dyDescent="0.3">
      <c r="A63" t="s">
        <v>224</v>
      </c>
      <c r="B63" t="s">
        <v>21</v>
      </c>
      <c r="C63" t="s">
        <v>57</v>
      </c>
      <c r="D63" t="s">
        <v>32</v>
      </c>
      <c r="E63" t="s">
        <v>225</v>
      </c>
      <c r="F63" t="s">
        <v>226</v>
      </c>
      <c r="G63">
        <v>164301</v>
      </c>
      <c r="H63" t="s">
        <v>55</v>
      </c>
      <c r="I63">
        <v>3</v>
      </c>
    </row>
    <row r="64" spans="1:9" x14ac:dyDescent="0.3">
      <c r="A64" t="s">
        <v>56</v>
      </c>
      <c r="B64" t="s">
        <v>18</v>
      </c>
      <c r="C64" t="s">
        <v>52</v>
      </c>
      <c r="D64" t="s">
        <v>30</v>
      </c>
      <c r="E64" t="s">
        <v>227</v>
      </c>
      <c r="F64" t="s">
        <v>228</v>
      </c>
      <c r="G64">
        <v>159001</v>
      </c>
      <c r="H64" t="s">
        <v>43</v>
      </c>
      <c r="I64">
        <v>3</v>
      </c>
    </row>
    <row r="65" spans="1:9" x14ac:dyDescent="0.3">
      <c r="A65" t="s">
        <v>229</v>
      </c>
      <c r="B65" t="s">
        <v>22</v>
      </c>
      <c r="C65" t="s">
        <v>61</v>
      </c>
      <c r="D65" t="s">
        <v>28</v>
      </c>
      <c r="E65" t="s">
        <v>230</v>
      </c>
      <c r="F65" t="s">
        <v>231</v>
      </c>
      <c r="G65">
        <v>173870</v>
      </c>
      <c r="H65" t="s">
        <v>47</v>
      </c>
      <c r="I65">
        <v>10</v>
      </c>
    </row>
    <row r="66" spans="1:9" x14ac:dyDescent="0.3">
      <c r="A66" t="s">
        <v>232</v>
      </c>
      <c r="B66" t="s">
        <v>21</v>
      </c>
      <c r="C66" t="s">
        <v>61</v>
      </c>
      <c r="D66" t="s">
        <v>32</v>
      </c>
      <c r="E66" t="s">
        <v>233</v>
      </c>
      <c r="F66" t="s">
        <v>234</v>
      </c>
      <c r="G66">
        <v>187391</v>
      </c>
      <c r="H66" t="s">
        <v>55</v>
      </c>
      <c r="I66">
        <v>5</v>
      </c>
    </row>
    <row r="67" spans="1:9" x14ac:dyDescent="0.3">
      <c r="A67" t="s">
        <v>235</v>
      </c>
      <c r="B67" t="s">
        <v>23</v>
      </c>
      <c r="C67" t="s">
        <v>52</v>
      </c>
      <c r="D67" t="s">
        <v>28</v>
      </c>
      <c r="E67" t="s">
        <v>236</v>
      </c>
      <c r="F67" t="s">
        <v>237</v>
      </c>
      <c r="G67">
        <v>33181</v>
      </c>
      <c r="H67" t="s">
        <v>55</v>
      </c>
      <c r="I67">
        <v>19</v>
      </c>
    </row>
    <row r="68" spans="1:9" x14ac:dyDescent="0.3">
      <c r="A68" t="s">
        <v>238</v>
      </c>
      <c r="B68" t="s">
        <v>23</v>
      </c>
      <c r="C68" t="s">
        <v>40</v>
      </c>
      <c r="D68" t="s">
        <v>30</v>
      </c>
      <c r="E68" t="s">
        <v>239</v>
      </c>
      <c r="F68" t="s">
        <v>240</v>
      </c>
      <c r="G68">
        <v>103585</v>
      </c>
      <c r="H68" t="s">
        <v>55</v>
      </c>
      <c r="I68">
        <v>11</v>
      </c>
    </row>
    <row r="69" spans="1:9" x14ac:dyDescent="0.3">
      <c r="A69" t="s">
        <v>241</v>
      </c>
      <c r="B69" t="s">
        <v>18</v>
      </c>
      <c r="C69" t="s">
        <v>61</v>
      </c>
      <c r="D69" t="s">
        <v>29</v>
      </c>
      <c r="E69" t="s">
        <v>242</v>
      </c>
      <c r="F69" t="s">
        <v>243</v>
      </c>
      <c r="G69">
        <v>241310</v>
      </c>
      <c r="H69" t="s">
        <v>55</v>
      </c>
      <c r="I69">
        <v>6</v>
      </c>
    </row>
    <row r="70" spans="1:9" x14ac:dyDescent="0.3">
      <c r="A70" t="s">
        <v>244</v>
      </c>
      <c r="B70" t="s">
        <v>21</v>
      </c>
      <c r="C70" t="s">
        <v>57</v>
      </c>
      <c r="D70" t="s">
        <v>28</v>
      </c>
      <c r="E70" t="s">
        <v>245</v>
      </c>
      <c r="F70" t="s">
        <v>246</v>
      </c>
      <c r="G70">
        <v>142677</v>
      </c>
      <c r="H70" t="s">
        <v>47</v>
      </c>
      <c r="I70">
        <v>21</v>
      </c>
    </row>
    <row r="71" spans="1:9" x14ac:dyDescent="0.3">
      <c r="A71" t="s">
        <v>247</v>
      </c>
      <c r="B71" t="s">
        <v>18</v>
      </c>
      <c r="C71" t="s">
        <v>57</v>
      </c>
      <c r="D71" t="s">
        <v>28</v>
      </c>
      <c r="E71" t="s">
        <v>248</v>
      </c>
      <c r="F71" t="s">
        <v>249</v>
      </c>
      <c r="G71">
        <v>153500</v>
      </c>
      <c r="H71" t="s">
        <v>47</v>
      </c>
      <c r="I71">
        <v>3</v>
      </c>
    </row>
    <row r="72" spans="1:9" x14ac:dyDescent="0.3">
      <c r="A72" t="s">
        <v>250</v>
      </c>
      <c r="B72" t="s">
        <v>18</v>
      </c>
      <c r="C72" t="s">
        <v>57</v>
      </c>
      <c r="D72" t="s">
        <v>30</v>
      </c>
      <c r="E72" t="s">
        <v>251</v>
      </c>
      <c r="F72" t="s">
        <v>252</v>
      </c>
      <c r="G72">
        <v>93424</v>
      </c>
      <c r="H72" t="s">
        <v>55</v>
      </c>
      <c r="I72">
        <v>15</v>
      </c>
    </row>
    <row r="73" spans="1:9" x14ac:dyDescent="0.3">
      <c r="A73" t="s">
        <v>253</v>
      </c>
      <c r="B73" t="s">
        <v>23</v>
      </c>
      <c r="C73" t="s">
        <v>91</v>
      </c>
      <c r="D73" t="s">
        <v>28</v>
      </c>
      <c r="E73" t="s">
        <v>254</v>
      </c>
      <c r="F73" t="s">
        <v>255</v>
      </c>
      <c r="G73">
        <v>80323</v>
      </c>
      <c r="H73" t="s">
        <v>47</v>
      </c>
      <c r="I73">
        <v>3</v>
      </c>
    </row>
    <row r="74" spans="1:9" x14ac:dyDescent="0.3">
      <c r="A74" t="s">
        <v>256</v>
      </c>
      <c r="B74" t="s">
        <v>21</v>
      </c>
      <c r="C74" t="s">
        <v>61</v>
      </c>
      <c r="D74" t="s">
        <v>32</v>
      </c>
      <c r="E74" t="s">
        <v>257</v>
      </c>
      <c r="F74" t="s">
        <v>258</v>
      </c>
      <c r="G74">
        <v>159404</v>
      </c>
      <c r="H74" t="s">
        <v>47</v>
      </c>
      <c r="I74">
        <v>22</v>
      </c>
    </row>
    <row r="75" spans="1:9" x14ac:dyDescent="0.3">
      <c r="A75" t="s">
        <v>259</v>
      </c>
      <c r="B75" t="s">
        <v>19</v>
      </c>
      <c r="C75" t="s">
        <v>91</v>
      </c>
      <c r="D75" t="s">
        <v>31</v>
      </c>
      <c r="E75" t="s">
        <v>260</v>
      </c>
      <c r="F75" t="s">
        <v>261</v>
      </c>
      <c r="G75">
        <v>216823</v>
      </c>
      <c r="H75" t="s">
        <v>43</v>
      </c>
      <c r="I75">
        <v>5</v>
      </c>
    </row>
    <row r="76" spans="1:9" x14ac:dyDescent="0.3">
      <c r="A76" t="s">
        <v>262</v>
      </c>
      <c r="B76" t="s">
        <v>23</v>
      </c>
      <c r="C76" t="s">
        <v>52</v>
      </c>
      <c r="D76" t="s">
        <v>32</v>
      </c>
      <c r="E76" t="s">
        <v>263</v>
      </c>
      <c r="F76" t="s">
        <v>264</v>
      </c>
      <c r="G76">
        <v>84130</v>
      </c>
      <c r="H76" t="s">
        <v>43</v>
      </c>
      <c r="I76">
        <v>19</v>
      </c>
    </row>
    <row r="77" spans="1:9" x14ac:dyDescent="0.3">
      <c r="A77" t="s">
        <v>265</v>
      </c>
      <c r="B77" t="s">
        <v>22</v>
      </c>
      <c r="C77" t="s">
        <v>61</v>
      </c>
      <c r="D77" t="s">
        <v>31</v>
      </c>
      <c r="E77" t="s">
        <v>266</v>
      </c>
      <c r="F77" t="s">
        <v>267</v>
      </c>
      <c r="G77">
        <v>112562</v>
      </c>
      <c r="H77" t="s">
        <v>43</v>
      </c>
      <c r="I77">
        <v>16</v>
      </c>
    </row>
    <row r="78" spans="1:9" x14ac:dyDescent="0.3">
      <c r="A78" t="s">
        <v>268</v>
      </c>
      <c r="B78" t="s">
        <v>22</v>
      </c>
      <c r="C78" t="s">
        <v>91</v>
      </c>
      <c r="D78" t="s">
        <v>30</v>
      </c>
      <c r="E78" t="s">
        <v>269</v>
      </c>
      <c r="F78" t="s">
        <v>270</v>
      </c>
      <c r="G78">
        <v>104483</v>
      </c>
      <c r="H78" t="s">
        <v>43</v>
      </c>
      <c r="I78">
        <v>23</v>
      </c>
    </row>
    <row r="79" spans="1:9" x14ac:dyDescent="0.3">
      <c r="A79" t="s">
        <v>271</v>
      </c>
      <c r="B79" t="s">
        <v>23</v>
      </c>
      <c r="C79" t="s">
        <v>91</v>
      </c>
      <c r="D79" t="s">
        <v>32</v>
      </c>
      <c r="E79" t="s">
        <v>272</v>
      </c>
      <c r="F79" t="s">
        <v>273</v>
      </c>
      <c r="G79">
        <v>31659</v>
      </c>
      <c r="H79" t="s">
        <v>55</v>
      </c>
      <c r="I79">
        <v>11</v>
      </c>
    </row>
    <row r="80" spans="1:9" x14ac:dyDescent="0.3">
      <c r="A80" t="s">
        <v>274</v>
      </c>
      <c r="B80" t="s">
        <v>21</v>
      </c>
      <c r="C80" t="s">
        <v>91</v>
      </c>
      <c r="D80" t="s">
        <v>32</v>
      </c>
      <c r="E80" t="s">
        <v>275</v>
      </c>
      <c r="F80" t="s">
        <v>276</v>
      </c>
      <c r="G80">
        <v>204342</v>
      </c>
      <c r="H80" t="s">
        <v>47</v>
      </c>
      <c r="I80">
        <v>7</v>
      </c>
    </row>
    <row r="81" spans="1:9" x14ac:dyDescent="0.3">
      <c r="A81" t="s">
        <v>39</v>
      </c>
      <c r="B81" t="s">
        <v>18</v>
      </c>
      <c r="C81" t="s">
        <v>91</v>
      </c>
      <c r="D81" t="s">
        <v>31</v>
      </c>
      <c r="E81" t="s">
        <v>277</v>
      </c>
      <c r="F81" t="s">
        <v>278</v>
      </c>
      <c r="G81">
        <v>154511</v>
      </c>
      <c r="H81" t="s">
        <v>55</v>
      </c>
      <c r="I81">
        <v>22</v>
      </c>
    </row>
    <row r="82" spans="1:9" x14ac:dyDescent="0.3">
      <c r="A82" t="s">
        <v>279</v>
      </c>
      <c r="B82" t="s">
        <v>22</v>
      </c>
      <c r="C82" t="s">
        <v>40</v>
      </c>
      <c r="D82" t="s">
        <v>29</v>
      </c>
      <c r="E82" t="s">
        <v>280</v>
      </c>
      <c r="F82" t="s">
        <v>281</v>
      </c>
      <c r="G82">
        <v>112875</v>
      </c>
      <c r="H82" t="s">
        <v>55</v>
      </c>
      <c r="I82">
        <v>7</v>
      </c>
    </row>
    <row r="83" spans="1:9" x14ac:dyDescent="0.3">
      <c r="A83" t="s">
        <v>282</v>
      </c>
      <c r="B83" t="s">
        <v>18</v>
      </c>
      <c r="C83" t="s">
        <v>91</v>
      </c>
      <c r="D83" t="s">
        <v>30</v>
      </c>
      <c r="E83" t="s">
        <v>283</v>
      </c>
      <c r="F83" t="s">
        <v>284</v>
      </c>
      <c r="G83">
        <v>198020</v>
      </c>
      <c r="H83" t="s">
        <v>55</v>
      </c>
      <c r="I83">
        <v>16</v>
      </c>
    </row>
    <row r="84" spans="1:9" x14ac:dyDescent="0.3">
      <c r="A84" t="s">
        <v>210</v>
      </c>
      <c r="B84" t="s">
        <v>21</v>
      </c>
      <c r="C84" t="s">
        <v>57</v>
      </c>
      <c r="D84" t="s">
        <v>31</v>
      </c>
      <c r="E84" t="s">
        <v>285</v>
      </c>
      <c r="F84" t="s">
        <v>286</v>
      </c>
      <c r="G84">
        <v>226238</v>
      </c>
      <c r="H84" t="s">
        <v>43</v>
      </c>
      <c r="I84">
        <v>3</v>
      </c>
    </row>
    <row r="85" spans="1:9" x14ac:dyDescent="0.3">
      <c r="A85" t="s">
        <v>287</v>
      </c>
      <c r="B85" t="s">
        <v>22</v>
      </c>
      <c r="C85" t="s">
        <v>91</v>
      </c>
      <c r="D85" t="s">
        <v>29</v>
      </c>
      <c r="E85" t="s">
        <v>288</v>
      </c>
      <c r="F85" t="s">
        <v>289</v>
      </c>
      <c r="G85">
        <v>80333</v>
      </c>
      <c r="H85" t="s">
        <v>43</v>
      </c>
      <c r="I85">
        <v>7</v>
      </c>
    </row>
    <row r="86" spans="1:9" x14ac:dyDescent="0.3">
      <c r="A86" t="s">
        <v>156</v>
      </c>
      <c r="B86" t="s">
        <v>19</v>
      </c>
      <c r="C86" t="s">
        <v>61</v>
      </c>
      <c r="D86" t="s">
        <v>32</v>
      </c>
      <c r="E86" t="s">
        <v>290</v>
      </c>
      <c r="F86" t="s">
        <v>291</v>
      </c>
      <c r="G86">
        <v>158991</v>
      </c>
      <c r="H86" t="s">
        <v>47</v>
      </c>
      <c r="I86">
        <v>16</v>
      </c>
    </row>
    <row r="87" spans="1:9" x14ac:dyDescent="0.3">
      <c r="A87" t="s">
        <v>292</v>
      </c>
      <c r="B87" t="s">
        <v>23</v>
      </c>
      <c r="C87" t="s">
        <v>52</v>
      </c>
      <c r="D87" t="s">
        <v>31</v>
      </c>
      <c r="E87" t="s">
        <v>293</v>
      </c>
      <c r="F87" t="s">
        <v>294</v>
      </c>
      <c r="G87">
        <v>151579</v>
      </c>
      <c r="H87" t="s">
        <v>55</v>
      </c>
      <c r="I87">
        <v>2</v>
      </c>
    </row>
    <row r="88" spans="1:9" x14ac:dyDescent="0.3">
      <c r="A88" t="s">
        <v>295</v>
      </c>
      <c r="B88" t="s">
        <v>21</v>
      </c>
      <c r="C88" t="s">
        <v>61</v>
      </c>
      <c r="D88" t="s">
        <v>32</v>
      </c>
      <c r="E88" t="s">
        <v>296</v>
      </c>
      <c r="F88" t="s">
        <v>297</v>
      </c>
      <c r="G88">
        <v>12856</v>
      </c>
      <c r="H88" t="s">
        <v>47</v>
      </c>
      <c r="I88">
        <v>24</v>
      </c>
    </row>
    <row r="89" spans="1:9" x14ac:dyDescent="0.3">
      <c r="A89" t="s">
        <v>298</v>
      </c>
      <c r="B89" t="s">
        <v>23</v>
      </c>
      <c r="C89" t="s">
        <v>61</v>
      </c>
      <c r="D89" t="s">
        <v>30</v>
      </c>
      <c r="E89" t="s">
        <v>299</v>
      </c>
      <c r="F89" t="s">
        <v>300</v>
      </c>
      <c r="G89">
        <v>53171</v>
      </c>
      <c r="H89" t="s">
        <v>55</v>
      </c>
      <c r="I89">
        <v>8</v>
      </c>
    </row>
    <row r="90" spans="1:9" x14ac:dyDescent="0.3">
      <c r="A90" t="s">
        <v>301</v>
      </c>
      <c r="B90" t="s">
        <v>18</v>
      </c>
      <c r="C90" t="s">
        <v>57</v>
      </c>
      <c r="D90" t="s">
        <v>28</v>
      </c>
      <c r="E90" t="s">
        <v>302</v>
      </c>
      <c r="F90" t="s">
        <v>303</v>
      </c>
      <c r="G90">
        <v>249560</v>
      </c>
      <c r="H90" t="s">
        <v>47</v>
      </c>
      <c r="I90">
        <v>16</v>
      </c>
    </row>
    <row r="91" spans="1:9" x14ac:dyDescent="0.3">
      <c r="A91" t="s">
        <v>304</v>
      </c>
      <c r="B91" t="s">
        <v>19</v>
      </c>
      <c r="C91" t="s">
        <v>91</v>
      </c>
      <c r="D91" t="s">
        <v>29</v>
      </c>
      <c r="E91" t="s">
        <v>305</v>
      </c>
      <c r="F91" t="s">
        <v>306</v>
      </c>
      <c r="G91">
        <v>84595</v>
      </c>
      <c r="H91" t="s">
        <v>43</v>
      </c>
      <c r="I91">
        <v>19</v>
      </c>
    </row>
    <row r="92" spans="1:9" x14ac:dyDescent="0.3">
      <c r="A92" t="s">
        <v>103</v>
      </c>
      <c r="B92" t="s">
        <v>21</v>
      </c>
      <c r="C92" t="s">
        <v>91</v>
      </c>
      <c r="D92" t="s">
        <v>30</v>
      </c>
      <c r="E92" t="s">
        <v>307</v>
      </c>
      <c r="F92" t="s">
        <v>308</v>
      </c>
      <c r="G92">
        <v>11367</v>
      </c>
      <c r="H92" t="s">
        <v>55</v>
      </c>
      <c r="I92">
        <v>22</v>
      </c>
    </row>
    <row r="93" spans="1:9" x14ac:dyDescent="0.3">
      <c r="A93" t="s">
        <v>309</v>
      </c>
      <c r="B93" t="s">
        <v>22</v>
      </c>
      <c r="C93" t="s">
        <v>91</v>
      </c>
      <c r="D93" t="s">
        <v>30</v>
      </c>
      <c r="E93" t="s">
        <v>310</v>
      </c>
      <c r="F93" t="s">
        <v>311</v>
      </c>
      <c r="G93">
        <v>10571</v>
      </c>
      <c r="H93" t="s">
        <v>43</v>
      </c>
      <c r="I93">
        <v>16</v>
      </c>
    </row>
    <row r="94" spans="1:9" x14ac:dyDescent="0.3">
      <c r="A94" t="s">
        <v>312</v>
      </c>
      <c r="B94" t="s">
        <v>18</v>
      </c>
      <c r="C94" t="s">
        <v>40</v>
      </c>
      <c r="D94" t="s">
        <v>28</v>
      </c>
      <c r="E94" t="s">
        <v>313</v>
      </c>
      <c r="F94" t="s">
        <v>314</v>
      </c>
      <c r="G94">
        <v>144926</v>
      </c>
      <c r="H94" t="s">
        <v>43</v>
      </c>
      <c r="I94">
        <v>7</v>
      </c>
    </row>
    <row r="95" spans="1:9" x14ac:dyDescent="0.3">
      <c r="A95" t="s">
        <v>315</v>
      </c>
      <c r="B95" t="s">
        <v>19</v>
      </c>
      <c r="C95" t="s">
        <v>52</v>
      </c>
      <c r="D95" t="s">
        <v>32</v>
      </c>
      <c r="E95" t="s">
        <v>316</v>
      </c>
      <c r="F95" t="s">
        <v>317</v>
      </c>
      <c r="G95">
        <v>104115</v>
      </c>
      <c r="H95" t="s">
        <v>55</v>
      </c>
      <c r="I95">
        <v>21</v>
      </c>
    </row>
    <row r="96" spans="1:9" x14ac:dyDescent="0.3">
      <c r="A96" t="s">
        <v>318</v>
      </c>
      <c r="B96" t="s">
        <v>22</v>
      </c>
      <c r="C96" t="s">
        <v>91</v>
      </c>
      <c r="D96" t="s">
        <v>29</v>
      </c>
      <c r="E96" t="s">
        <v>319</v>
      </c>
      <c r="F96" t="s">
        <v>320</v>
      </c>
      <c r="G96">
        <v>236922</v>
      </c>
      <c r="H96" t="s">
        <v>55</v>
      </c>
      <c r="I96">
        <v>25</v>
      </c>
    </row>
    <row r="97" spans="1:9" x14ac:dyDescent="0.3">
      <c r="A97" t="s">
        <v>321</v>
      </c>
      <c r="B97" t="s">
        <v>21</v>
      </c>
      <c r="C97" t="s">
        <v>40</v>
      </c>
      <c r="D97" t="s">
        <v>30</v>
      </c>
      <c r="E97" t="s">
        <v>322</v>
      </c>
      <c r="F97" t="s">
        <v>323</v>
      </c>
      <c r="G97">
        <v>229625</v>
      </c>
      <c r="H97" t="s">
        <v>47</v>
      </c>
      <c r="I97">
        <v>8</v>
      </c>
    </row>
    <row r="98" spans="1:9" x14ac:dyDescent="0.3">
      <c r="A98" t="s">
        <v>324</v>
      </c>
      <c r="B98" t="s">
        <v>23</v>
      </c>
      <c r="C98" t="s">
        <v>52</v>
      </c>
      <c r="D98" t="s">
        <v>31</v>
      </c>
      <c r="E98" t="s">
        <v>325</v>
      </c>
      <c r="F98" t="s">
        <v>326</v>
      </c>
      <c r="G98">
        <v>79612</v>
      </c>
      <c r="H98" t="s">
        <v>47</v>
      </c>
      <c r="I98">
        <v>19</v>
      </c>
    </row>
    <row r="99" spans="1:9" x14ac:dyDescent="0.3">
      <c r="A99" t="s">
        <v>327</v>
      </c>
      <c r="B99" t="s">
        <v>19</v>
      </c>
      <c r="C99" t="s">
        <v>91</v>
      </c>
      <c r="D99" t="s">
        <v>32</v>
      </c>
      <c r="E99" t="s">
        <v>328</v>
      </c>
      <c r="F99" t="s">
        <v>329</v>
      </c>
      <c r="G99">
        <v>154878</v>
      </c>
      <c r="H99" t="s">
        <v>55</v>
      </c>
      <c r="I99">
        <v>3</v>
      </c>
    </row>
    <row r="100" spans="1:9" x14ac:dyDescent="0.3">
      <c r="A100" t="s">
        <v>330</v>
      </c>
      <c r="B100" t="s">
        <v>19</v>
      </c>
      <c r="C100" t="s">
        <v>57</v>
      </c>
      <c r="D100" t="s">
        <v>32</v>
      </c>
      <c r="E100" t="s">
        <v>331</v>
      </c>
      <c r="F100" t="s">
        <v>332</v>
      </c>
      <c r="G100">
        <v>79856</v>
      </c>
      <c r="H100" t="s">
        <v>55</v>
      </c>
      <c r="I100">
        <v>24</v>
      </c>
    </row>
    <row r="101" spans="1:9" x14ac:dyDescent="0.3">
      <c r="A101" t="s">
        <v>135</v>
      </c>
      <c r="B101" t="s">
        <v>19</v>
      </c>
      <c r="C101" t="s">
        <v>52</v>
      </c>
      <c r="D101" t="s">
        <v>29</v>
      </c>
      <c r="E101" t="s">
        <v>333</v>
      </c>
      <c r="F101" t="s">
        <v>334</v>
      </c>
      <c r="G101">
        <v>130447</v>
      </c>
      <c r="H101" t="s">
        <v>47</v>
      </c>
      <c r="I101">
        <v>12</v>
      </c>
    </row>
    <row r="102" spans="1:9" x14ac:dyDescent="0.3">
      <c r="A102" t="s">
        <v>335</v>
      </c>
      <c r="B102" t="s">
        <v>23</v>
      </c>
      <c r="C102" t="s">
        <v>91</v>
      </c>
      <c r="D102" t="s">
        <v>29</v>
      </c>
      <c r="E102" t="s">
        <v>336</v>
      </c>
      <c r="F102" t="s">
        <v>337</v>
      </c>
      <c r="G102">
        <v>91858</v>
      </c>
      <c r="H102" t="s">
        <v>55</v>
      </c>
      <c r="I102">
        <v>19</v>
      </c>
    </row>
    <row r="103" spans="1:9" x14ac:dyDescent="0.3">
      <c r="A103" t="s">
        <v>338</v>
      </c>
      <c r="B103" t="s">
        <v>23</v>
      </c>
      <c r="C103" t="s">
        <v>57</v>
      </c>
      <c r="D103" t="s">
        <v>32</v>
      </c>
      <c r="E103" t="s">
        <v>339</v>
      </c>
      <c r="F103" t="s">
        <v>340</v>
      </c>
      <c r="G103">
        <v>103683</v>
      </c>
      <c r="H103" t="s">
        <v>47</v>
      </c>
      <c r="I103">
        <v>16</v>
      </c>
    </row>
    <row r="104" spans="1:9" x14ac:dyDescent="0.3">
      <c r="A104" t="s">
        <v>341</v>
      </c>
      <c r="B104" t="s">
        <v>18</v>
      </c>
      <c r="C104" t="s">
        <v>57</v>
      </c>
      <c r="D104" t="s">
        <v>31</v>
      </c>
      <c r="E104" t="s">
        <v>342</v>
      </c>
      <c r="F104" t="s">
        <v>343</v>
      </c>
      <c r="G104">
        <v>102753</v>
      </c>
      <c r="H104" t="s">
        <v>43</v>
      </c>
      <c r="I104">
        <v>15</v>
      </c>
    </row>
    <row r="105" spans="1:9" x14ac:dyDescent="0.3">
      <c r="A105" t="s">
        <v>195</v>
      </c>
      <c r="B105" t="s">
        <v>21</v>
      </c>
      <c r="C105" t="s">
        <v>57</v>
      </c>
      <c r="D105" t="s">
        <v>31</v>
      </c>
      <c r="E105" t="s">
        <v>344</v>
      </c>
      <c r="F105" t="s">
        <v>345</v>
      </c>
      <c r="G105">
        <v>55594</v>
      </c>
      <c r="H105" t="s">
        <v>55</v>
      </c>
      <c r="I105">
        <v>10</v>
      </c>
    </row>
    <row r="106" spans="1:9" x14ac:dyDescent="0.3">
      <c r="A106" t="s">
        <v>346</v>
      </c>
      <c r="B106" t="s">
        <v>21</v>
      </c>
      <c r="C106" t="s">
        <v>57</v>
      </c>
      <c r="D106" t="s">
        <v>29</v>
      </c>
      <c r="E106" t="s">
        <v>347</v>
      </c>
      <c r="F106" t="s">
        <v>348</v>
      </c>
      <c r="G106">
        <v>224308</v>
      </c>
      <c r="H106" t="s">
        <v>55</v>
      </c>
      <c r="I106">
        <v>4</v>
      </c>
    </row>
    <row r="107" spans="1:9" x14ac:dyDescent="0.3">
      <c r="A107" t="s">
        <v>349</v>
      </c>
      <c r="B107" t="s">
        <v>18</v>
      </c>
      <c r="C107" t="s">
        <v>91</v>
      </c>
      <c r="D107" t="s">
        <v>31</v>
      </c>
      <c r="E107" t="s">
        <v>350</v>
      </c>
      <c r="F107" t="s">
        <v>351</v>
      </c>
      <c r="G107">
        <v>85833</v>
      </c>
      <c r="H107" t="s">
        <v>47</v>
      </c>
      <c r="I107">
        <v>22</v>
      </c>
    </row>
    <row r="108" spans="1:9" x14ac:dyDescent="0.3">
      <c r="A108" t="s">
        <v>352</v>
      </c>
      <c r="B108" t="s">
        <v>23</v>
      </c>
      <c r="C108" t="s">
        <v>57</v>
      </c>
      <c r="D108" t="s">
        <v>30</v>
      </c>
      <c r="E108" t="s">
        <v>353</v>
      </c>
      <c r="F108" t="s">
        <v>354</v>
      </c>
      <c r="G108">
        <v>37521</v>
      </c>
      <c r="H108" t="s">
        <v>47</v>
      </c>
      <c r="I108">
        <v>17</v>
      </c>
    </row>
    <row r="109" spans="1:9" x14ac:dyDescent="0.3">
      <c r="A109" t="s">
        <v>355</v>
      </c>
      <c r="B109" t="s">
        <v>22</v>
      </c>
      <c r="C109" t="s">
        <v>52</v>
      </c>
      <c r="D109" t="s">
        <v>31</v>
      </c>
      <c r="E109" t="s">
        <v>356</v>
      </c>
      <c r="F109" t="s">
        <v>357</v>
      </c>
      <c r="G109">
        <v>165701</v>
      </c>
      <c r="H109" t="s">
        <v>55</v>
      </c>
      <c r="I109">
        <v>16</v>
      </c>
    </row>
    <row r="110" spans="1:9" x14ac:dyDescent="0.3">
      <c r="A110" t="s">
        <v>358</v>
      </c>
      <c r="B110" t="s">
        <v>19</v>
      </c>
      <c r="C110" t="s">
        <v>91</v>
      </c>
      <c r="D110" t="s">
        <v>32</v>
      </c>
      <c r="E110" t="s">
        <v>359</v>
      </c>
      <c r="F110" t="s">
        <v>360</v>
      </c>
      <c r="G110">
        <v>48784</v>
      </c>
      <c r="H110" t="s">
        <v>47</v>
      </c>
      <c r="I110">
        <v>11</v>
      </c>
    </row>
    <row r="111" spans="1:9" x14ac:dyDescent="0.3">
      <c r="A111" t="s">
        <v>210</v>
      </c>
      <c r="B111" t="s">
        <v>18</v>
      </c>
      <c r="C111" t="s">
        <v>91</v>
      </c>
      <c r="D111" t="s">
        <v>28</v>
      </c>
      <c r="E111" t="s">
        <v>361</v>
      </c>
      <c r="F111" t="s">
        <v>362</v>
      </c>
      <c r="G111">
        <v>233974</v>
      </c>
      <c r="H111" t="s">
        <v>55</v>
      </c>
      <c r="I111">
        <v>21</v>
      </c>
    </row>
    <row r="112" spans="1:9" x14ac:dyDescent="0.3">
      <c r="A112" t="s">
        <v>363</v>
      </c>
      <c r="B112" t="s">
        <v>18</v>
      </c>
      <c r="C112" t="s">
        <v>91</v>
      </c>
      <c r="D112" t="s">
        <v>30</v>
      </c>
      <c r="E112" t="s">
        <v>364</v>
      </c>
      <c r="F112" t="s">
        <v>365</v>
      </c>
      <c r="G112">
        <v>225008</v>
      </c>
      <c r="H112" t="s">
        <v>47</v>
      </c>
      <c r="I112">
        <v>14</v>
      </c>
    </row>
    <row r="113" spans="1:9" x14ac:dyDescent="0.3">
      <c r="A113" t="s">
        <v>366</v>
      </c>
      <c r="B113" t="s">
        <v>23</v>
      </c>
      <c r="C113" t="s">
        <v>57</v>
      </c>
      <c r="D113" t="s">
        <v>31</v>
      </c>
      <c r="E113" t="s">
        <v>367</v>
      </c>
      <c r="F113" t="s">
        <v>368</v>
      </c>
      <c r="G113">
        <v>153463</v>
      </c>
      <c r="H113" t="s">
        <v>43</v>
      </c>
      <c r="I113">
        <v>5</v>
      </c>
    </row>
    <row r="114" spans="1:9" x14ac:dyDescent="0.3">
      <c r="A114" t="s">
        <v>369</v>
      </c>
      <c r="B114" t="s">
        <v>23</v>
      </c>
      <c r="C114" t="s">
        <v>52</v>
      </c>
      <c r="D114" t="s">
        <v>29</v>
      </c>
      <c r="E114" t="s">
        <v>370</v>
      </c>
      <c r="F114" t="s">
        <v>371</v>
      </c>
      <c r="G114">
        <v>144641</v>
      </c>
      <c r="H114" t="s">
        <v>55</v>
      </c>
      <c r="I114">
        <v>6</v>
      </c>
    </row>
    <row r="115" spans="1:9" x14ac:dyDescent="0.3">
      <c r="A115" t="s">
        <v>338</v>
      </c>
      <c r="B115" t="s">
        <v>22</v>
      </c>
      <c r="C115" t="s">
        <v>52</v>
      </c>
      <c r="D115" t="s">
        <v>29</v>
      </c>
      <c r="E115" t="s">
        <v>372</v>
      </c>
      <c r="F115" t="s">
        <v>373</v>
      </c>
      <c r="G115">
        <v>166354</v>
      </c>
      <c r="H115" t="s">
        <v>55</v>
      </c>
      <c r="I115">
        <v>7</v>
      </c>
    </row>
    <row r="116" spans="1:9" x14ac:dyDescent="0.3">
      <c r="A116" t="s">
        <v>374</v>
      </c>
      <c r="B116" t="s">
        <v>19</v>
      </c>
      <c r="C116" t="s">
        <v>61</v>
      </c>
      <c r="D116" t="s">
        <v>30</v>
      </c>
      <c r="E116" t="s">
        <v>375</v>
      </c>
      <c r="F116" t="s">
        <v>376</v>
      </c>
      <c r="G116">
        <v>171364</v>
      </c>
      <c r="H116" t="s">
        <v>47</v>
      </c>
      <c r="I116">
        <v>20</v>
      </c>
    </row>
    <row r="117" spans="1:9" x14ac:dyDescent="0.3">
      <c r="A117" t="s">
        <v>377</v>
      </c>
      <c r="B117" t="s">
        <v>23</v>
      </c>
      <c r="C117" t="s">
        <v>52</v>
      </c>
      <c r="D117" t="s">
        <v>31</v>
      </c>
      <c r="E117" t="s">
        <v>378</v>
      </c>
      <c r="F117" t="s">
        <v>379</v>
      </c>
      <c r="G117">
        <v>241669</v>
      </c>
      <c r="H117" t="s">
        <v>55</v>
      </c>
      <c r="I117">
        <v>21</v>
      </c>
    </row>
    <row r="118" spans="1:9" x14ac:dyDescent="0.3">
      <c r="A118" t="s">
        <v>380</v>
      </c>
      <c r="B118" t="s">
        <v>19</v>
      </c>
      <c r="C118" t="s">
        <v>61</v>
      </c>
      <c r="D118" t="s">
        <v>28</v>
      </c>
      <c r="E118" t="s">
        <v>381</v>
      </c>
      <c r="F118" t="s">
        <v>382</v>
      </c>
      <c r="G118">
        <v>127814</v>
      </c>
      <c r="H118" t="s">
        <v>47</v>
      </c>
      <c r="I118">
        <v>6</v>
      </c>
    </row>
    <row r="119" spans="1:9" x14ac:dyDescent="0.3">
      <c r="A119" t="s">
        <v>383</v>
      </c>
      <c r="B119" t="s">
        <v>19</v>
      </c>
      <c r="C119" t="s">
        <v>57</v>
      </c>
      <c r="D119" t="s">
        <v>28</v>
      </c>
      <c r="E119" t="s">
        <v>384</v>
      </c>
      <c r="F119" t="s">
        <v>385</v>
      </c>
      <c r="G119">
        <v>61999</v>
      </c>
      <c r="H119" t="s">
        <v>55</v>
      </c>
      <c r="I119">
        <v>22</v>
      </c>
    </row>
    <row r="120" spans="1:9" x14ac:dyDescent="0.3">
      <c r="A120" t="s">
        <v>386</v>
      </c>
      <c r="B120" t="s">
        <v>18</v>
      </c>
      <c r="C120" t="s">
        <v>61</v>
      </c>
      <c r="D120" t="s">
        <v>29</v>
      </c>
      <c r="E120" t="s">
        <v>387</v>
      </c>
      <c r="F120" t="s">
        <v>388</v>
      </c>
      <c r="G120">
        <v>119544</v>
      </c>
      <c r="H120" t="s">
        <v>43</v>
      </c>
      <c r="I120">
        <v>7</v>
      </c>
    </row>
    <row r="121" spans="1:9" x14ac:dyDescent="0.3">
      <c r="A121" t="s">
        <v>389</v>
      </c>
      <c r="B121" t="s">
        <v>22</v>
      </c>
      <c r="C121" t="s">
        <v>52</v>
      </c>
      <c r="D121" t="s">
        <v>28</v>
      </c>
      <c r="E121" t="s">
        <v>390</v>
      </c>
      <c r="F121" t="s">
        <v>391</v>
      </c>
      <c r="G121">
        <v>223155</v>
      </c>
      <c r="H121" t="s">
        <v>55</v>
      </c>
      <c r="I121">
        <v>3</v>
      </c>
    </row>
    <row r="122" spans="1:9" x14ac:dyDescent="0.3">
      <c r="A122" t="s">
        <v>392</v>
      </c>
      <c r="B122" t="s">
        <v>18</v>
      </c>
      <c r="C122" t="s">
        <v>52</v>
      </c>
      <c r="D122" t="s">
        <v>31</v>
      </c>
      <c r="E122" t="s">
        <v>393</v>
      </c>
      <c r="F122" t="s">
        <v>394</v>
      </c>
      <c r="G122">
        <v>218105</v>
      </c>
      <c r="H122" t="s">
        <v>43</v>
      </c>
      <c r="I122">
        <v>7</v>
      </c>
    </row>
    <row r="123" spans="1:9" x14ac:dyDescent="0.3">
      <c r="A123" t="s">
        <v>389</v>
      </c>
      <c r="B123" t="s">
        <v>19</v>
      </c>
      <c r="C123" t="s">
        <v>91</v>
      </c>
      <c r="D123" t="s">
        <v>31</v>
      </c>
      <c r="E123" t="s">
        <v>395</v>
      </c>
      <c r="F123" t="s">
        <v>396</v>
      </c>
      <c r="G123">
        <v>199166</v>
      </c>
      <c r="H123" t="s">
        <v>43</v>
      </c>
      <c r="I123">
        <v>3</v>
      </c>
    </row>
    <row r="124" spans="1:9" x14ac:dyDescent="0.3">
      <c r="A124" t="s">
        <v>213</v>
      </c>
      <c r="B124" t="s">
        <v>22</v>
      </c>
      <c r="C124" t="s">
        <v>91</v>
      </c>
      <c r="D124" t="s">
        <v>28</v>
      </c>
      <c r="E124" t="s">
        <v>397</v>
      </c>
      <c r="F124" t="s">
        <v>398</v>
      </c>
      <c r="G124">
        <v>34670</v>
      </c>
      <c r="H124" t="s">
        <v>47</v>
      </c>
      <c r="I124">
        <v>13</v>
      </c>
    </row>
    <row r="125" spans="1:9" x14ac:dyDescent="0.3">
      <c r="A125" t="s">
        <v>399</v>
      </c>
      <c r="B125" t="s">
        <v>19</v>
      </c>
      <c r="C125" t="s">
        <v>61</v>
      </c>
      <c r="D125" t="s">
        <v>30</v>
      </c>
      <c r="E125" t="s">
        <v>400</v>
      </c>
      <c r="F125" t="s">
        <v>401</v>
      </c>
      <c r="G125">
        <v>47978</v>
      </c>
      <c r="H125" t="s">
        <v>55</v>
      </c>
      <c r="I125">
        <v>3</v>
      </c>
    </row>
    <row r="126" spans="1:9" x14ac:dyDescent="0.3">
      <c r="A126" t="s">
        <v>402</v>
      </c>
      <c r="B126" t="s">
        <v>18</v>
      </c>
      <c r="C126" t="s">
        <v>52</v>
      </c>
      <c r="D126" t="s">
        <v>29</v>
      </c>
      <c r="E126" t="s">
        <v>403</v>
      </c>
      <c r="F126" t="s">
        <v>404</v>
      </c>
      <c r="G126">
        <v>168163</v>
      </c>
      <c r="H126" t="s">
        <v>47</v>
      </c>
      <c r="I126">
        <v>12</v>
      </c>
    </row>
    <row r="127" spans="1:9" x14ac:dyDescent="0.3">
      <c r="A127" t="s">
        <v>405</v>
      </c>
      <c r="B127" t="s">
        <v>21</v>
      </c>
      <c r="C127" t="s">
        <v>91</v>
      </c>
      <c r="D127" t="s">
        <v>31</v>
      </c>
      <c r="E127" t="s">
        <v>406</v>
      </c>
      <c r="F127" t="s">
        <v>407</v>
      </c>
      <c r="G127">
        <v>183835</v>
      </c>
      <c r="H127" t="s">
        <v>43</v>
      </c>
      <c r="I127">
        <v>15</v>
      </c>
    </row>
    <row r="128" spans="1:9" x14ac:dyDescent="0.3">
      <c r="A128" t="s">
        <v>408</v>
      </c>
      <c r="B128" t="s">
        <v>23</v>
      </c>
      <c r="C128" t="s">
        <v>40</v>
      </c>
      <c r="D128" t="s">
        <v>31</v>
      </c>
      <c r="E128" t="s">
        <v>409</v>
      </c>
      <c r="F128" t="s">
        <v>410</v>
      </c>
      <c r="G128">
        <v>125885</v>
      </c>
      <c r="H128" t="s">
        <v>55</v>
      </c>
      <c r="I128">
        <v>7</v>
      </c>
    </row>
    <row r="129" spans="1:9" x14ac:dyDescent="0.3">
      <c r="A129" t="s">
        <v>189</v>
      </c>
      <c r="B129" t="s">
        <v>21</v>
      </c>
      <c r="C129" t="s">
        <v>52</v>
      </c>
      <c r="D129" t="s">
        <v>31</v>
      </c>
      <c r="E129" t="s">
        <v>411</v>
      </c>
      <c r="F129" t="s">
        <v>412</v>
      </c>
      <c r="G129">
        <v>116837</v>
      </c>
      <c r="H129" t="s">
        <v>43</v>
      </c>
      <c r="I129">
        <v>22</v>
      </c>
    </row>
    <row r="130" spans="1:9" x14ac:dyDescent="0.3">
      <c r="A130" t="s">
        <v>413</v>
      </c>
      <c r="B130" t="s">
        <v>23</v>
      </c>
      <c r="C130" t="s">
        <v>91</v>
      </c>
      <c r="D130" t="s">
        <v>29</v>
      </c>
      <c r="E130" t="s">
        <v>414</v>
      </c>
      <c r="F130" t="s">
        <v>415</v>
      </c>
      <c r="G130">
        <v>245628</v>
      </c>
      <c r="H130" t="s">
        <v>55</v>
      </c>
      <c r="I130">
        <v>15</v>
      </c>
    </row>
    <row r="131" spans="1:9" x14ac:dyDescent="0.3">
      <c r="A131" t="s">
        <v>186</v>
      </c>
      <c r="B131" t="s">
        <v>23</v>
      </c>
      <c r="C131" t="s">
        <v>91</v>
      </c>
      <c r="D131" t="s">
        <v>28</v>
      </c>
      <c r="E131" t="s">
        <v>416</v>
      </c>
      <c r="F131" t="s">
        <v>417</v>
      </c>
      <c r="G131">
        <v>135913</v>
      </c>
      <c r="H131" t="s">
        <v>47</v>
      </c>
      <c r="I131">
        <v>11</v>
      </c>
    </row>
    <row r="132" spans="1:9" x14ac:dyDescent="0.3">
      <c r="A132" t="s">
        <v>129</v>
      </c>
      <c r="B132" t="s">
        <v>19</v>
      </c>
      <c r="C132" t="s">
        <v>52</v>
      </c>
      <c r="D132" t="s">
        <v>31</v>
      </c>
      <c r="E132" t="s">
        <v>418</v>
      </c>
      <c r="F132" t="s">
        <v>419</v>
      </c>
      <c r="G132">
        <v>63875</v>
      </c>
      <c r="H132" t="s">
        <v>47</v>
      </c>
      <c r="I132">
        <v>22</v>
      </c>
    </row>
    <row r="133" spans="1:9" x14ac:dyDescent="0.3">
      <c r="A133" t="s">
        <v>420</v>
      </c>
      <c r="B133" t="s">
        <v>23</v>
      </c>
      <c r="C133" t="s">
        <v>52</v>
      </c>
      <c r="D133" t="s">
        <v>29</v>
      </c>
      <c r="E133" t="s">
        <v>421</v>
      </c>
      <c r="F133" t="s">
        <v>422</v>
      </c>
      <c r="G133">
        <v>34085</v>
      </c>
      <c r="H133" t="s">
        <v>47</v>
      </c>
      <c r="I133">
        <v>24</v>
      </c>
    </row>
    <row r="134" spans="1:9" x14ac:dyDescent="0.3">
      <c r="A134" t="s">
        <v>423</v>
      </c>
      <c r="B134" t="s">
        <v>18</v>
      </c>
      <c r="C134" t="s">
        <v>40</v>
      </c>
      <c r="D134" t="s">
        <v>32</v>
      </c>
      <c r="E134" t="s">
        <v>424</v>
      </c>
      <c r="F134" t="s">
        <v>425</v>
      </c>
      <c r="G134">
        <v>242949</v>
      </c>
      <c r="H134" t="s">
        <v>55</v>
      </c>
      <c r="I134">
        <v>17</v>
      </c>
    </row>
    <row r="135" spans="1:9" x14ac:dyDescent="0.3">
      <c r="A135" t="s">
        <v>426</v>
      </c>
      <c r="B135" t="s">
        <v>23</v>
      </c>
      <c r="C135" t="s">
        <v>52</v>
      </c>
      <c r="D135" t="s">
        <v>32</v>
      </c>
      <c r="E135" t="s">
        <v>427</v>
      </c>
      <c r="F135" t="s">
        <v>428</v>
      </c>
      <c r="G135">
        <v>83875</v>
      </c>
      <c r="H135" t="s">
        <v>47</v>
      </c>
      <c r="I135">
        <v>22</v>
      </c>
    </row>
    <row r="136" spans="1:9" x14ac:dyDescent="0.3">
      <c r="A136" t="s">
        <v>429</v>
      </c>
      <c r="B136" t="s">
        <v>22</v>
      </c>
      <c r="C136" t="s">
        <v>57</v>
      </c>
      <c r="D136" t="s">
        <v>31</v>
      </c>
      <c r="E136" t="s">
        <v>430</v>
      </c>
      <c r="F136" t="s">
        <v>431</v>
      </c>
      <c r="G136">
        <v>229842</v>
      </c>
      <c r="H136" t="s">
        <v>47</v>
      </c>
      <c r="I136">
        <v>14</v>
      </c>
    </row>
    <row r="137" spans="1:9" x14ac:dyDescent="0.3">
      <c r="A137" t="s">
        <v>432</v>
      </c>
      <c r="B137" t="s">
        <v>18</v>
      </c>
      <c r="C137" t="s">
        <v>91</v>
      </c>
      <c r="D137" t="s">
        <v>32</v>
      </c>
      <c r="E137" t="s">
        <v>433</v>
      </c>
      <c r="F137" t="s">
        <v>434</v>
      </c>
      <c r="G137">
        <v>150978</v>
      </c>
      <c r="H137" t="s">
        <v>43</v>
      </c>
      <c r="I137">
        <v>5</v>
      </c>
    </row>
    <row r="138" spans="1:9" x14ac:dyDescent="0.3">
      <c r="A138" t="s">
        <v>435</v>
      </c>
      <c r="B138" t="s">
        <v>19</v>
      </c>
      <c r="C138" t="s">
        <v>91</v>
      </c>
      <c r="D138" t="s">
        <v>30</v>
      </c>
      <c r="E138" t="s">
        <v>436</v>
      </c>
      <c r="F138" t="s">
        <v>437</v>
      </c>
      <c r="G138">
        <v>49977</v>
      </c>
      <c r="H138" t="s">
        <v>55</v>
      </c>
      <c r="I138">
        <v>22</v>
      </c>
    </row>
    <row r="139" spans="1:9" x14ac:dyDescent="0.3">
      <c r="A139" t="s">
        <v>438</v>
      </c>
      <c r="B139" t="s">
        <v>18</v>
      </c>
      <c r="C139" t="s">
        <v>57</v>
      </c>
      <c r="D139" t="s">
        <v>28</v>
      </c>
      <c r="E139" t="s">
        <v>439</v>
      </c>
      <c r="F139" t="s">
        <v>440</v>
      </c>
      <c r="G139">
        <v>245118</v>
      </c>
      <c r="H139" t="s">
        <v>55</v>
      </c>
      <c r="I139">
        <v>13</v>
      </c>
    </row>
    <row r="140" spans="1:9" x14ac:dyDescent="0.3">
      <c r="A140" t="s">
        <v>369</v>
      </c>
      <c r="B140" t="s">
        <v>19</v>
      </c>
      <c r="C140" t="s">
        <v>91</v>
      </c>
      <c r="D140" t="s">
        <v>28</v>
      </c>
      <c r="E140" t="s">
        <v>441</v>
      </c>
      <c r="F140" t="s">
        <v>442</v>
      </c>
      <c r="G140">
        <v>63417</v>
      </c>
      <c r="H140" t="s">
        <v>55</v>
      </c>
      <c r="I140">
        <v>15</v>
      </c>
    </row>
    <row r="141" spans="1:9" x14ac:dyDescent="0.3">
      <c r="A141" t="s">
        <v>443</v>
      </c>
      <c r="B141" t="s">
        <v>23</v>
      </c>
      <c r="C141" t="s">
        <v>40</v>
      </c>
      <c r="D141" t="s">
        <v>28</v>
      </c>
      <c r="E141" t="s">
        <v>444</v>
      </c>
      <c r="F141" t="s">
        <v>445</v>
      </c>
      <c r="G141">
        <v>175793</v>
      </c>
      <c r="H141" t="s">
        <v>43</v>
      </c>
      <c r="I141">
        <v>8</v>
      </c>
    </row>
    <row r="142" spans="1:9" x14ac:dyDescent="0.3">
      <c r="A142" t="s">
        <v>312</v>
      </c>
      <c r="B142" t="s">
        <v>23</v>
      </c>
      <c r="C142" t="s">
        <v>52</v>
      </c>
      <c r="D142" t="s">
        <v>30</v>
      </c>
      <c r="E142" t="s">
        <v>446</v>
      </c>
      <c r="F142" t="s">
        <v>447</v>
      </c>
      <c r="G142">
        <v>17808</v>
      </c>
      <c r="H142" t="s">
        <v>47</v>
      </c>
      <c r="I142">
        <v>15</v>
      </c>
    </row>
    <row r="143" spans="1:9" x14ac:dyDescent="0.3">
      <c r="A143" t="s">
        <v>198</v>
      </c>
      <c r="B143" t="s">
        <v>23</v>
      </c>
      <c r="C143" t="s">
        <v>61</v>
      </c>
      <c r="D143" t="s">
        <v>28</v>
      </c>
      <c r="E143" t="s">
        <v>448</v>
      </c>
      <c r="F143" t="s">
        <v>449</v>
      </c>
      <c r="G143">
        <v>99488</v>
      </c>
      <c r="H143" t="s">
        <v>55</v>
      </c>
      <c r="I143">
        <v>21</v>
      </c>
    </row>
    <row r="144" spans="1:9" x14ac:dyDescent="0.3">
      <c r="A144" t="s">
        <v>450</v>
      </c>
      <c r="B144" t="s">
        <v>21</v>
      </c>
      <c r="C144" t="s">
        <v>91</v>
      </c>
      <c r="D144" t="s">
        <v>32</v>
      </c>
      <c r="E144" t="s">
        <v>451</v>
      </c>
      <c r="F144" t="s">
        <v>452</v>
      </c>
      <c r="G144">
        <v>87835</v>
      </c>
      <c r="H144" t="s">
        <v>55</v>
      </c>
      <c r="I144">
        <v>10</v>
      </c>
    </row>
    <row r="145" spans="1:9" x14ac:dyDescent="0.3">
      <c r="A145" t="s">
        <v>453</v>
      </c>
      <c r="B145" t="s">
        <v>18</v>
      </c>
      <c r="C145" t="s">
        <v>52</v>
      </c>
      <c r="D145" t="s">
        <v>30</v>
      </c>
      <c r="E145" t="s">
        <v>454</v>
      </c>
      <c r="F145" t="s">
        <v>455</v>
      </c>
      <c r="G145">
        <v>81895</v>
      </c>
      <c r="H145" t="s">
        <v>43</v>
      </c>
      <c r="I145">
        <v>10</v>
      </c>
    </row>
    <row r="146" spans="1:9" x14ac:dyDescent="0.3">
      <c r="A146" t="s">
        <v>456</v>
      </c>
      <c r="B146" t="s">
        <v>18</v>
      </c>
      <c r="C146" t="s">
        <v>91</v>
      </c>
      <c r="D146" t="s">
        <v>31</v>
      </c>
      <c r="E146" t="s">
        <v>457</v>
      </c>
      <c r="F146" t="s">
        <v>458</v>
      </c>
      <c r="G146">
        <v>189362</v>
      </c>
      <c r="H146" t="s">
        <v>47</v>
      </c>
      <c r="I146">
        <v>15</v>
      </c>
    </row>
    <row r="147" spans="1:9" x14ac:dyDescent="0.3">
      <c r="A147" t="s">
        <v>210</v>
      </c>
      <c r="B147" t="s">
        <v>23</v>
      </c>
      <c r="C147" t="s">
        <v>61</v>
      </c>
      <c r="D147" t="s">
        <v>32</v>
      </c>
      <c r="E147" t="s">
        <v>459</v>
      </c>
      <c r="F147" t="s">
        <v>460</v>
      </c>
      <c r="G147">
        <v>95414</v>
      </c>
      <c r="H147" t="s">
        <v>43</v>
      </c>
      <c r="I147">
        <v>4</v>
      </c>
    </row>
    <row r="148" spans="1:9" x14ac:dyDescent="0.3">
      <c r="A148" t="s">
        <v>461</v>
      </c>
      <c r="B148" t="s">
        <v>19</v>
      </c>
      <c r="C148" t="s">
        <v>91</v>
      </c>
      <c r="D148" t="s">
        <v>32</v>
      </c>
      <c r="E148" t="s">
        <v>462</v>
      </c>
      <c r="F148" t="s">
        <v>463</v>
      </c>
      <c r="G148">
        <v>45478</v>
      </c>
      <c r="H148" t="s">
        <v>43</v>
      </c>
      <c r="I148">
        <v>24</v>
      </c>
    </row>
    <row r="149" spans="1:9" x14ac:dyDescent="0.3">
      <c r="A149" t="s">
        <v>464</v>
      </c>
      <c r="B149" t="s">
        <v>22</v>
      </c>
      <c r="C149" t="s">
        <v>40</v>
      </c>
      <c r="D149" t="s">
        <v>32</v>
      </c>
      <c r="E149" t="s">
        <v>465</v>
      </c>
      <c r="F149" t="s">
        <v>466</v>
      </c>
      <c r="G149">
        <v>79853</v>
      </c>
      <c r="H149" t="s">
        <v>47</v>
      </c>
      <c r="I149">
        <v>17</v>
      </c>
    </row>
    <row r="150" spans="1:9" x14ac:dyDescent="0.3">
      <c r="A150" t="s">
        <v>467</v>
      </c>
      <c r="B150" t="s">
        <v>21</v>
      </c>
      <c r="C150" t="s">
        <v>91</v>
      </c>
      <c r="D150" t="s">
        <v>28</v>
      </c>
      <c r="E150" t="s">
        <v>468</v>
      </c>
      <c r="F150" t="s">
        <v>469</v>
      </c>
      <c r="G150">
        <v>160709</v>
      </c>
      <c r="H150" t="s">
        <v>55</v>
      </c>
      <c r="I150">
        <v>17</v>
      </c>
    </row>
    <row r="151" spans="1:9" x14ac:dyDescent="0.3">
      <c r="A151" t="s">
        <v>39</v>
      </c>
      <c r="B151" t="s">
        <v>23</v>
      </c>
      <c r="C151" t="s">
        <v>91</v>
      </c>
      <c r="D151" t="s">
        <v>29</v>
      </c>
      <c r="E151" t="s">
        <v>470</v>
      </c>
      <c r="F151" t="s">
        <v>471</v>
      </c>
      <c r="G151">
        <v>156850</v>
      </c>
      <c r="H151" t="s">
        <v>55</v>
      </c>
      <c r="I151">
        <v>15</v>
      </c>
    </row>
    <row r="152" spans="1:9" x14ac:dyDescent="0.3">
      <c r="A152" t="s">
        <v>450</v>
      </c>
      <c r="B152" t="s">
        <v>23</v>
      </c>
      <c r="C152" t="s">
        <v>91</v>
      </c>
      <c r="D152" t="s">
        <v>30</v>
      </c>
      <c r="E152" t="s">
        <v>472</v>
      </c>
      <c r="F152" t="s">
        <v>473</v>
      </c>
      <c r="G152">
        <v>134650</v>
      </c>
      <c r="H152" t="s">
        <v>55</v>
      </c>
      <c r="I152">
        <v>19</v>
      </c>
    </row>
    <row r="153" spans="1:9" x14ac:dyDescent="0.3">
      <c r="A153" t="s">
        <v>474</v>
      </c>
      <c r="B153" t="s">
        <v>18</v>
      </c>
      <c r="C153" t="s">
        <v>91</v>
      </c>
      <c r="D153" t="s">
        <v>30</v>
      </c>
      <c r="E153" t="s">
        <v>475</v>
      </c>
      <c r="F153" t="s">
        <v>476</v>
      </c>
      <c r="G153">
        <v>19488</v>
      </c>
      <c r="H153" t="s">
        <v>43</v>
      </c>
      <c r="I153">
        <v>18</v>
      </c>
    </row>
    <row r="154" spans="1:9" x14ac:dyDescent="0.3">
      <c r="A154" t="s">
        <v>477</v>
      </c>
      <c r="B154" t="s">
        <v>22</v>
      </c>
      <c r="C154" t="s">
        <v>40</v>
      </c>
      <c r="D154" t="s">
        <v>28</v>
      </c>
      <c r="E154" t="s">
        <v>478</v>
      </c>
      <c r="F154" t="s">
        <v>479</v>
      </c>
      <c r="G154">
        <v>190149</v>
      </c>
      <c r="H154" t="s">
        <v>47</v>
      </c>
      <c r="I154">
        <v>15</v>
      </c>
    </row>
    <row r="155" spans="1:9" x14ac:dyDescent="0.3">
      <c r="A155" t="s">
        <v>120</v>
      </c>
      <c r="B155" t="s">
        <v>21</v>
      </c>
      <c r="C155" t="s">
        <v>61</v>
      </c>
      <c r="D155" t="s">
        <v>28</v>
      </c>
      <c r="E155" t="s">
        <v>480</v>
      </c>
      <c r="F155" t="s">
        <v>481</v>
      </c>
      <c r="G155">
        <v>168081</v>
      </c>
      <c r="H155" t="s">
        <v>43</v>
      </c>
      <c r="I155">
        <v>5</v>
      </c>
    </row>
    <row r="156" spans="1:9" x14ac:dyDescent="0.3">
      <c r="A156" t="s">
        <v>482</v>
      </c>
      <c r="B156" t="s">
        <v>18</v>
      </c>
      <c r="C156" t="s">
        <v>52</v>
      </c>
      <c r="D156" t="s">
        <v>30</v>
      </c>
      <c r="E156" t="s">
        <v>483</v>
      </c>
      <c r="F156" t="s">
        <v>484</v>
      </c>
      <c r="G156">
        <v>187507</v>
      </c>
      <c r="H156" t="s">
        <v>43</v>
      </c>
      <c r="I156">
        <v>25</v>
      </c>
    </row>
    <row r="157" spans="1:9" x14ac:dyDescent="0.3">
      <c r="A157" t="s">
        <v>485</v>
      </c>
      <c r="B157" t="s">
        <v>23</v>
      </c>
      <c r="C157" t="s">
        <v>61</v>
      </c>
      <c r="D157" t="s">
        <v>28</v>
      </c>
      <c r="E157" t="s">
        <v>486</v>
      </c>
      <c r="F157" t="s">
        <v>487</v>
      </c>
      <c r="G157">
        <v>197099</v>
      </c>
      <c r="H157" t="s">
        <v>47</v>
      </c>
      <c r="I157">
        <v>16</v>
      </c>
    </row>
    <row r="158" spans="1:9" x14ac:dyDescent="0.3">
      <c r="A158" t="s">
        <v>488</v>
      </c>
      <c r="B158" t="s">
        <v>23</v>
      </c>
      <c r="C158" t="s">
        <v>91</v>
      </c>
      <c r="D158" t="s">
        <v>30</v>
      </c>
      <c r="E158" t="s">
        <v>489</v>
      </c>
      <c r="F158" t="s">
        <v>490</v>
      </c>
      <c r="G158">
        <v>241363</v>
      </c>
      <c r="H158" t="s">
        <v>43</v>
      </c>
      <c r="I158">
        <v>6</v>
      </c>
    </row>
    <row r="159" spans="1:9" x14ac:dyDescent="0.3">
      <c r="A159" t="s">
        <v>64</v>
      </c>
      <c r="B159" t="s">
        <v>22</v>
      </c>
      <c r="C159" t="s">
        <v>61</v>
      </c>
      <c r="D159" t="s">
        <v>30</v>
      </c>
      <c r="E159" t="s">
        <v>491</v>
      </c>
      <c r="F159" t="s">
        <v>492</v>
      </c>
      <c r="G159">
        <v>119125</v>
      </c>
      <c r="H159" t="s">
        <v>55</v>
      </c>
      <c r="I159">
        <v>11</v>
      </c>
    </row>
    <row r="160" spans="1:9" x14ac:dyDescent="0.3">
      <c r="A160" t="s">
        <v>338</v>
      </c>
      <c r="B160" t="s">
        <v>19</v>
      </c>
      <c r="C160" t="s">
        <v>91</v>
      </c>
      <c r="D160" t="s">
        <v>30</v>
      </c>
      <c r="E160" t="s">
        <v>493</v>
      </c>
      <c r="F160" t="s">
        <v>494</v>
      </c>
      <c r="G160">
        <v>37741</v>
      </c>
      <c r="H160" t="s">
        <v>47</v>
      </c>
      <c r="I160">
        <v>18</v>
      </c>
    </row>
    <row r="161" spans="1:9" x14ac:dyDescent="0.3">
      <c r="A161" t="s">
        <v>495</v>
      </c>
      <c r="B161" t="s">
        <v>19</v>
      </c>
      <c r="C161" t="s">
        <v>52</v>
      </c>
      <c r="D161" t="s">
        <v>32</v>
      </c>
      <c r="E161" t="s">
        <v>496</v>
      </c>
      <c r="F161" t="s">
        <v>497</v>
      </c>
      <c r="G161">
        <v>187328</v>
      </c>
      <c r="H161" t="s">
        <v>55</v>
      </c>
      <c r="I161">
        <v>24</v>
      </c>
    </row>
    <row r="162" spans="1:9" x14ac:dyDescent="0.3">
      <c r="A162" t="s">
        <v>498</v>
      </c>
      <c r="B162" t="s">
        <v>23</v>
      </c>
      <c r="C162" t="s">
        <v>40</v>
      </c>
      <c r="D162" t="s">
        <v>28</v>
      </c>
      <c r="E162" t="s">
        <v>499</v>
      </c>
      <c r="F162" t="s">
        <v>500</v>
      </c>
      <c r="G162">
        <v>22261</v>
      </c>
      <c r="H162" t="s">
        <v>55</v>
      </c>
      <c r="I162">
        <v>7</v>
      </c>
    </row>
    <row r="163" spans="1:9" x14ac:dyDescent="0.3">
      <c r="A163" t="s">
        <v>501</v>
      </c>
      <c r="B163" t="s">
        <v>19</v>
      </c>
      <c r="C163" t="s">
        <v>52</v>
      </c>
      <c r="D163" t="s">
        <v>32</v>
      </c>
      <c r="E163" t="s">
        <v>502</v>
      </c>
      <c r="F163" t="s">
        <v>503</v>
      </c>
      <c r="G163">
        <v>164402</v>
      </c>
      <c r="H163" t="s">
        <v>55</v>
      </c>
      <c r="I163">
        <v>24</v>
      </c>
    </row>
    <row r="164" spans="1:9" x14ac:dyDescent="0.3">
      <c r="A164" t="s">
        <v>126</v>
      </c>
      <c r="B164" t="s">
        <v>23</v>
      </c>
      <c r="C164" t="s">
        <v>57</v>
      </c>
      <c r="D164" t="s">
        <v>31</v>
      </c>
      <c r="E164" t="s">
        <v>504</v>
      </c>
      <c r="F164" t="s">
        <v>505</v>
      </c>
      <c r="G164">
        <v>208627</v>
      </c>
      <c r="H164" t="s">
        <v>47</v>
      </c>
      <c r="I164">
        <v>15</v>
      </c>
    </row>
    <row r="165" spans="1:9" x14ac:dyDescent="0.3">
      <c r="A165" t="s">
        <v>506</v>
      </c>
      <c r="B165" t="s">
        <v>21</v>
      </c>
      <c r="C165" t="s">
        <v>91</v>
      </c>
      <c r="D165" t="s">
        <v>31</v>
      </c>
      <c r="E165" t="s">
        <v>507</v>
      </c>
      <c r="F165" t="s">
        <v>508</v>
      </c>
      <c r="G165">
        <v>223625</v>
      </c>
      <c r="H165" t="s">
        <v>55</v>
      </c>
      <c r="I165">
        <v>6</v>
      </c>
    </row>
    <row r="166" spans="1:9" x14ac:dyDescent="0.3">
      <c r="A166" t="s">
        <v>509</v>
      </c>
      <c r="B166" t="s">
        <v>19</v>
      </c>
      <c r="C166" t="s">
        <v>57</v>
      </c>
      <c r="D166" t="s">
        <v>30</v>
      </c>
      <c r="E166" t="s">
        <v>510</v>
      </c>
      <c r="F166" t="s">
        <v>511</v>
      </c>
      <c r="G166">
        <v>47537</v>
      </c>
      <c r="H166" t="s">
        <v>47</v>
      </c>
      <c r="I166">
        <v>4</v>
      </c>
    </row>
    <row r="167" spans="1:9" x14ac:dyDescent="0.3">
      <c r="A167" t="s">
        <v>512</v>
      </c>
      <c r="B167" t="s">
        <v>23</v>
      </c>
      <c r="C167" t="s">
        <v>57</v>
      </c>
      <c r="D167" t="s">
        <v>32</v>
      </c>
      <c r="E167" t="s">
        <v>513</v>
      </c>
      <c r="F167" t="s">
        <v>514</v>
      </c>
      <c r="G167">
        <v>190858</v>
      </c>
      <c r="H167" t="s">
        <v>55</v>
      </c>
      <c r="I167">
        <v>3</v>
      </c>
    </row>
    <row r="168" spans="1:9" x14ac:dyDescent="0.3">
      <c r="A168" t="s">
        <v>515</v>
      </c>
      <c r="B168" t="s">
        <v>18</v>
      </c>
      <c r="C168" t="s">
        <v>57</v>
      </c>
      <c r="D168" t="s">
        <v>29</v>
      </c>
      <c r="E168" t="s">
        <v>516</v>
      </c>
      <c r="F168" t="s">
        <v>517</v>
      </c>
      <c r="G168">
        <v>232724</v>
      </c>
      <c r="H168" t="s">
        <v>43</v>
      </c>
      <c r="I168">
        <v>8</v>
      </c>
    </row>
    <row r="169" spans="1:9" x14ac:dyDescent="0.3">
      <c r="A169" t="s">
        <v>518</v>
      </c>
      <c r="B169" t="s">
        <v>22</v>
      </c>
      <c r="C169" t="s">
        <v>57</v>
      </c>
      <c r="D169" t="s">
        <v>30</v>
      </c>
      <c r="E169" t="s">
        <v>519</v>
      </c>
      <c r="F169" t="s">
        <v>520</v>
      </c>
      <c r="G169">
        <v>36223</v>
      </c>
      <c r="H169" t="s">
        <v>55</v>
      </c>
      <c r="I169">
        <v>23</v>
      </c>
    </row>
    <row r="170" spans="1:9" x14ac:dyDescent="0.3">
      <c r="A170" t="s">
        <v>443</v>
      </c>
      <c r="B170" t="s">
        <v>18</v>
      </c>
      <c r="C170" t="s">
        <v>91</v>
      </c>
      <c r="D170" t="s">
        <v>30</v>
      </c>
      <c r="E170" t="s">
        <v>521</v>
      </c>
      <c r="F170" t="s">
        <v>522</v>
      </c>
      <c r="G170">
        <v>77411</v>
      </c>
      <c r="H170" t="s">
        <v>55</v>
      </c>
      <c r="I170">
        <v>20</v>
      </c>
    </row>
    <row r="171" spans="1:9" x14ac:dyDescent="0.3">
      <c r="A171" t="s">
        <v>315</v>
      </c>
      <c r="B171" t="s">
        <v>19</v>
      </c>
      <c r="C171" t="s">
        <v>57</v>
      </c>
      <c r="D171" t="s">
        <v>31</v>
      </c>
      <c r="E171" t="s">
        <v>523</v>
      </c>
      <c r="F171" t="s">
        <v>524</v>
      </c>
      <c r="G171">
        <v>177150</v>
      </c>
      <c r="H171" t="s">
        <v>47</v>
      </c>
      <c r="I171">
        <v>18</v>
      </c>
    </row>
    <row r="172" spans="1:9" x14ac:dyDescent="0.3">
      <c r="A172" t="s">
        <v>525</v>
      </c>
      <c r="B172" t="s">
        <v>23</v>
      </c>
      <c r="C172" t="s">
        <v>61</v>
      </c>
      <c r="D172" t="s">
        <v>29</v>
      </c>
      <c r="E172" t="s">
        <v>526</v>
      </c>
      <c r="F172" t="s">
        <v>527</v>
      </c>
      <c r="G172">
        <v>121513</v>
      </c>
      <c r="H172" t="s">
        <v>55</v>
      </c>
      <c r="I172">
        <v>25</v>
      </c>
    </row>
    <row r="173" spans="1:9" x14ac:dyDescent="0.3">
      <c r="A173" t="s">
        <v>528</v>
      </c>
      <c r="B173" t="s">
        <v>18</v>
      </c>
      <c r="C173" t="s">
        <v>61</v>
      </c>
      <c r="D173" t="s">
        <v>29</v>
      </c>
      <c r="E173" t="s">
        <v>529</v>
      </c>
      <c r="F173" t="s">
        <v>530</v>
      </c>
      <c r="G173">
        <v>243447</v>
      </c>
      <c r="H173" t="s">
        <v>55</v>
      </c>
      <c r="I173">
        <v>13</v>
      </c>
    </row>
    <row r="174" spans="1:9" x14ac:dyDescent="0.3">
      <c r="A174" t="s">
        <v>408</v>
      </c>
      <c r="B174" t="s">
        <v>23</v>
      </c>
      <c r="C174" t="s">
        <v>40</v>
      </c>
      <c r="D174" t="s">
        <v>28</v>
      </c>
      <c r="E174" t="s">
        <v>531</v>
      </c>
      <c r="F174" t="s">
        <v>532</v>
      </c>
      <c r="G174">
        <v>75238</v>
      </c>
      <c r="H174" t="s">
        <v>55</v>
      </c>
      <c r="I174">
        <v>6</v>
      </c>
    </row>
    <row r="175" spans="1:9" x14ac:dyDescent="0.3">
      <c r="A175" t="s">
        <v>533</v>
      </c>
      <c r="B175" t="s">
        <v>21</v>
      </c>
      <c r="C175" t="s">
        <v>52</v>
      </c>
      <c r="D175" t="s">
        <v>30</v>
      </c>
      <c r="E175" t="s">
        <v>534</v>
      </c>
      <c r="F175" t="s">
        <v>535</v>
      </c>
      <c r="G175">
        <v>181301</v>
      </c>
      <c r="H175" t="s">
        <v>55</v>
      </c>
      <c r="I175">
        <v>9</v>
      </c>
    </row>
    <row r="176" spans="1:9" x14ac:dyDescent="0.3">
      <c r="A176" t="s">
        <v>341</v>
      </c>
      <c r="B176" t="s">
        <v>22</v>
      </c>
      <c r="C176" t="s">
        <v>61</v>
      </c>
      <c r="D176" t="s">
        <v>29</v>
      </c>
      <c r="E176" t="s">
        <v>536</v>
      </c>
      <c r="F176" t="s">
        <v>537</v>
      </c>
      <c r="G176">
        <v>55860</v>
      </c>
      <c r="H176" t="s">
        <v>43</v>
      </c>
      <c r="I176">
        <v>17</v>
      </c>
    </row>
    <row r="177" spans="1:9" x14ac:dyDescent="0.3">
      <c r="A177" t="s">
        <v>538</v>
      </c>
      <c r="B177" t="s">
        <v>18</v>
      </c>
      <c r="C177" t="s">
        <v>57</v>
      </c>
      <c r="D177" t="s">
        <v>29</v>
      </c>
      <c r="E177" t="s">
        <v>539</v>
      </c>
      <c r="F177" t="s">
        <v>540</v>
      </c>
      <c r="G177">
        <v>175933</v>
      </c>
      <c r="H177" t="s">
        <v>55</v>
      </c>
      <c r="I177">
        <v>7</v>
      </c>
    </row>
    <row r="178" spans="1:9" x14ac:dyDescent="0.3">
      <c r="A178" t="s">
        <v>253</v>
      </c>
      <c r="B178" t="s">
        <v>23</v>
      </c>
      <c r="C178" t="s">
        <v>61</v>
      </c>
      <c r="D178" t="s">
        <v>31</v>
      </c>
      <c r="E178" t="s">
        <v>541</v>
      </c>
      <c r="F178" t="s">
        <v>542</v>
      </c>
      <c r="G178">
        <v>242569</v>
      </c>
      <c r="H178" t="s">
        <v>43</v>
      </c>
      <c r="I178">
        <v>12</v>
      </c>
    </row>
    <row r="179" spans="1:9" x14ac:dyDescent="0.3">
      <c r="A179" t="s">
        <v>543</v>
      </c>
      <c r="B179" t="s">
        <v>23</v>
      </c>
      <c r="C179" t="s">
        <v>40</v>
      </c>
      <c r="D179" t="s">
        <v>29</v>
      </c>
      <c r="E179" t="s">
        <v>544</v>
      </c>
      <c r="F179" t="s">
        <v>545</v>
      </c>
      <c r="G179">
        <v>14328</v>
      </c>
      <c r="H179" t="s">
        <v>47</v>
      </c>
      <c r="I179">
        <v>12</v>
      </c>
    </row>
    <row r="180" spans="1:9" x14ac:dyDescent="0.3">
      <c r="A180" t="s">
        <v>304</v>
      </c>
      <c r="B180" t="s">
        <v>19</v>
      </c>
      <c r="C180" t="s">
        <v>91</v>
      </c>
      <c r="D180" t="s">
        <v>31</v>
      </c>
      <c r="E180" t="s">
        <v>546</v>
      </c>
      <c r="F180" t="s">
        <v>547</v>
      </c>
      <c r="G180">
        <v>172786</v>
      </c>
      <c r="H180" t="s">
        <v>55</v>
      </c>
      <c r="I180">
        <v>16</v>
      </c>
    </row>
    <row r="181" spans="1:9" x14ac:dyDescent="0.3">
      <c r="A181" t="s">
        <v>548</v>
      </c>
      <c r="B181" t="s">
        <v>23</v>
      </c>
      <c r="C181" t="s">
        <v>52</v>
      </c>
      <c r="D181" t="s">
        <v>30</v>
      </c>
      <c r="E181" t="s">
        <v>549</v>
      </c>
      <c r="F181" t="s">
        <v>550</v>
      </c>
      <c r="G181">
        <v>191980</v>
      </c>
      <c r="H181" t="s">
        <v>55</v>
      </c>
      <c r="I181">
        <v>3</v>
      </c>
    </row>
    <row r="182" spans="1:9" x14ac:dyDescent="0.3">
      <c r="A182" t="s">
        <v>551</v>
      </c>
      <c r="B182" t="s">
        <v>21</v>
      </c>
      <c r="C182" t="s">
        <v>52</v>
      </c>
      <c r="D182" t="s">
        <v>30</v>
      </c>
      <c r="E182" t="s">
        <v>552</v>
      </c>
      <c r="F182" t="s">
        <v>553</v>
      </c>
      <c r="G182">
        <v>48567</v>
      </c>
      <c r="H182" t="s">
        <v>43</v>
      </c>
      <c r="I182">
        <v>3</v>
      </c>
    </row>
    <row r="183" spans="1:9" x14ac:dyDescent="0.3">
      <c r="A183" t="s">
        <v>554</v>
      </c>
      <c r="B183" t="s">
        <v>23</v>
      </c>
      <c r="C183" t="s">
        <v>52</v>
      </c>
      <c r="D183" t="s">
        <v>29</v>
      </c>
      <c r="E183" t="s">
        <v>555</v>
      </c>
      <c r="F183" t="s">
        <v>556</v>
      </c>
      <c r="G183">
        <v>38773</v>
      </c>
      <c r="H183" t="s">
        <v>47</v>
      </c>
      <c r="I183">
        <v>6</v>
      </c>
    </row>
    <row r="184" spans="1:9" x14ac:dyDescent="0.3">
      <c r="A184" t="s">
        <v>557</v>
      </c>
      <c r="B184" t="s">
        <v>21</v>
      </c>
      <c r="C184" t="s">
        <v>52</v>
      </c>
      <c r="D184" t="s">
        <v>28</v>
      </c>
      <c r="E184" t="s">
        <v>558</v>
      </c>
      <c r="F184" t="s">
        <v>559</v>
      </c>
      <c r="G184">
        <v>194625</v>
      </c>
      <c r="H184" t="s">
        <v>55</v>
      </c>
      <c r="I184">
        <v>20</v>
      </c>
    </row>
    <row r="185" spans="1:9" x14ac:dyDescent="0.3">
      <c r="A185" t="s">
        <v>106</v>
      </c>
      <c r="B185" t="s">
        <v>23</v>
      </c>
      <c r="C185" t="s">
        <v>61</v>
      </c>
      <c r="D185" t="s">
        <v>30</v>
      </c>
      <c r="E185" t="s">
        <v>560</v>
      </c>
      <c r="F185" t="s">
        <v>561</v>
      </c>
      <c r="G185">
        <v>186961</v>
      </c>
      <c r="H185" t="s">
        <v>47</v>
      </c>
      <c r="I185">
        <v>9</v>
      </c>
    </row>
    <row r="186" spans="1:9" x14ac:dyDescent="0.3">
      <c r="A186" t="s">
        <v>562</v>
      </c>
      <c r="B186" t="s">
        <v>23</v>
      </c>
      <c r="C186" t="s">
        <v>40</v>
      </c>
      <c r="D186" t="s">
        <v>32</v>
      </c>
      <c r="E186" t="s">
        <v>563</v>
      </c>
      <c r="F186" t="s">
        <v>564</v>
      </c>
      <c r="G186">
        <v>108654</v>
      </c>
      <c r="H186" t="s">
        <v>43</v>
      </c>
      <c r="I186">
        <v>12</v>
      </c>
    </row>
    <row r="187" spans="1:9" x14ac:dyDescent="0.3">
      <c r="A187" t="s">
        <v>565</v>
      </c>
      <c r="B187" t="s">
        <v>19</v>
      </c>
      <c r="C187" t="s">
        <v>91</v>
      </c>
      <c r="D187" t="s">
        <v>29</v>
      </c>
      <c r="E187" t="s">
        <v>566</v>
      </c>
      <c r="F187" t="s">
        <v>567</v>
      </c>
      <c r="G187">
        <v>149958</v>
      </c>
      <c r="H187" t="s">
        <v>47</v>
      </c>
      <c r="I187">
        <v>2</v>
      </c>
    </row>
    <row r="188" spans="1:9" x14ac:dyDescent="0.3">
      <c r="A188" t="s">
        <v>568</v>
      </c>
      <c r="B188" t="s">
        <v>23</v>
      </c>
      <c r="C188" t="s">
        <v>91</v>
      </c>
      <c r="D188" t="s">
        <v>29</v>
      </c>
      <c r="E188" t="s">
        <v>569</v>
      </c>
      <c r="F188" t="s">
        <v>570</v>
      </c>
      <c r="G188">
        <v>68682</v>
      </c>
      <c r="H188" t="s">
        <v>43</v>
      </c>
      <c r="I188">
        <v>6</v>
      </c>
    </row>
    <row r="189" spans="1:9" x14ac:dyDescent="0.3">
      <c r="A189" t="s">
        <v>402</v>
      </c>
      <c r="B189" t="s">
        <v>19</v>
      </c>
      <c r="C189" t="s">
        <v>40</v>
      </c>
      <c r="D189" t="s">
        <v>29</v>
      </c>
      <c r="E189" t="s">
        <v>571</v>
      </c>
      <c r="F189" t="s">
        <v>572</v>
      </c>
      <c r="G189">
        <v>45163</v>
      </c>
      <c r="H189" t="s">
        <v>55</v>
      </c>
      <c r="I189">
        <v>13</v>
      </c>
    </row>
    <row r="190" spans="1:9" x14ac:dyDescent="0.3">
      <c r="A190" t="s">
        <v>573</v>
      </c>
      <c r="B190" t="s">
        <v>22</v>
      </c>
      <c r="C190" t="s">
        <v>40</v>
      </c>
      <c r="D190" t="s">
        <v>32</v>
      </c>
      <c r="E190" t="s">
        <v>574</v>
      </c>
      <c r="F190" t="s">
        <v>575</v>
      </c>
      <c r="G190">
        <v>182813</v>
      </c>
      <c r="H190" t="s">
        <v>47</v>
      </c>
      <c r="I190">
        <v>11</v>
      </c>
    </row>
    <row r="191" spans="1:9" x14ac:dyDescent="0.3">
      <c r="A191" t="s">
        <v>576</v>
      </c>
      <c r="B191" t="s">
        <v>22</v>
      </c>
      <c r="C191" t="s">
        <v>61</v>
      </c>
      <c r="D191" t="s">
        <v>28</v>
      </c>
      <c r="E191" t="s">
        <v>577</v>
      </c>
      <c r="F191" t="s">
        <v>578</v>
      </c>
      <c r="G191">
        <v>199972</v>
      </c>
      <c r="H191" t="s">
        <v>43</v>
      </c>
      <c r="I191">
        <v>21</v>
      </c>
    </row>
    <row r="192" spans="1:9" x14ac:dyDescent="0.3">
      <c r="A192" t="s">
        <v>292</v>
      </c>
      <c r="B192" t="s">
        <v>23</v>
      </c>
      <c r="C192" t="s">
        <v>52</v>
      </c>
      <c r="D192" t="s">
        <v>32</v>
      </c>
      <c r="E192" t="s">
        <v>579</v>
      </c>
      <c r="F192" t="s">
        <v>580</v>
      </c>
      <c r="G192">
        <v>99586</v>
      </c>
      <c r="H192" t="s">
        <v>47</v>
      </c>
      <c r="I192">
        <v>24</v>
      </c>
    </row>
    <row r="193" spans="1:9" x14ac:dyDescent="0.3">
      <c r="A193" t="s">
        <v>581</v>
      </c>
      <c r="B193" t="s">
        <v>22</v>
      </c>
      <c r="C193" t="s">
        <v>57</v>
      </c>
      <c r="D193" t="s">
        <v>30</v>
      </c>
      <c r="E193" t="s">
        <v>582</v>
      </c>
      <c r="F193" t="s">
        <v>583</v>
      </c>
      <c r="G193">
        <v>88995</v>
      </c>
      <c r="H193" t="s">
        <v>55</v>
      </c>
      <c r="I193">
        <v>10</v>
      </c>
    </row>
    <row r="194" spans="1:9" x14ac:dyDescent="0.3">
      <c r="A194" t="s">
        <v>584</v>
      </c>
      <c r="B194" t="s">
        <v>21</v>
      </c>
      <c r="C194" t="s">
        <v>91</v>
      </c>
      <c r="D194" t="s">
        <v>28</v>
      </c>
      <c r="E194" t="s">
        <v>585</v>
      </c>
      <c r="F194" t="s">
        <v>586</v>
      </c>
      <c r="G194">
        <v>100955</v>
      </c>
      <c r="H194" t="s">
        <v>43</v>
      </c>
      <c r="I194">
        <v>3</v>
      </c>
    </row>
    <row r="195" spans="1:9" x14ac:dyDescent="0.3">
      <c r="A195" t="s">
        <v>573</v>
      </c>
      <c r="B195" t="s">
        <v>19</v>
      </c>
      <c r="C195" t="s">
        <v>91</v>
      </c>
      <c r="D195" t="s">
        <v>29</v>
      </c>
      <c r="E195" t="s">
        <v>587</v>
      </c>
      <c r="F195" t="s">
        <v>588</v>
      </c>
      <c r="G195">
        <v>70293</v>
      </c>
      <c r="H195" t="s">
        <v>55</v>
      </c>
      <c r="I195">
        <v>15</v>
      </c>
    </row>
    <row r="196" spans="1:9" x14ac:dyDescent="0.3">
      <c r="A196" t="s">
        <v>576</v>
      </c>
      <c r="B196" t="s">
        <v>18</v>
      </c>
      <c r="C196" t="s">
        <v>91</v>
      </c>
      <c r="D196" t="s">
        <v>31</v>
      </c>
      <c r="E196" t="s">
        <v>589</v>
      </c>
      <c r="F196" t="s">
        <v>590</v>
      </c>
      <c r="G196">
        <v>106401</v>
      </c>
      <c r="H196" t="s">
        <v>55</v>
      </c>
      <c r="I196">
        <v>24</v>
      </c>
    </row>
    <row r="197" spans="1:9" x14ac:dyDescent="0.3">
      <c r="A197" t="s">
        <v>162</v>
      </c>
      <c r="B197" t="s">
        <v>23</v>
      </c>
      <c r="C197" t="s">
        <v>57</v>
      </c>
      <c r="D197" t="s">
        <v>31</v>
      </c>
      <c r="E197" t="s">
        <v>591</v>
      </c>
      <c r="F197" t="s">
        <v>592</v>
      </c>
      <c r="G197">
        <v>68234</v>
      </c>
      <c r="H197" t="s">
        <v>55</v>
      </c>
      <c r="I197">
        <v>19</v>
      </c>
    </row>
    <row r="198" spans="1:9" x14ac:dyDescent="0.3">
      <c r="A198" t="s">
        <v>420</v>
      </c>
      <c r="B198" t="s">
        <v>22</v>
      </c>
      <c r="C198" t="s">
        <v>57</v>
      </c>
      <c r="D198" t="s">
        <v>29</v>
      </c>
      <c r="E198" t="s">
        <v>593</v>
      </c>
      <c r="F198" t="s">
        <v>594</v>
      </c>
      <c r="G198">
        <v>20015</v>
      </c>
      <c r="H198" t="s">
        <v>43</v>
      </c>
      <c r="I198">
        <v>14</v>
      </c>
    </row>
    <row r="199" spans="1:9" x14ac:dyDescent="0.3">
      <c r="A199" t="s">
        <v>595</v>
      </c>
      <c r="B199" t="s">
        <v>21</v>
      </c>
      <c r="C199" t="s">
        <v>40</v>
      </c>
      <c r="D199" t="s">
        <v>29</v>
      </c>
      <c r="E199" t="s">
        <v>596</v>
      </c>
      <c r="F199" t="s">
        <v>597</v>
      </c>
      <c r="G199">
        <v>155179</v>
      </c>
      <c r="H199" t="s">
        <v>43</v>
      </c>
      <c r="I199">
        <v>19</v>
      </c>
    </row>
    <row r="200" spans="1:9" x14ac:dyDescent="0.3">
      <c r="A200" t="s">
        <v>213</v>
      </c>
      <c r="B200" t="s">
        <v>22</v>
      </c>
      <c r="C200" t="s">
        <v>52</v>
      </c>
      <c r="D200" t="s">
        <v>28</v>
      </c>
      <c r="E200" t="s">
        <v>598</v>
      </c>
      <c r="F200" t="s">
        <v>599</v>
      </c>
      <c r="G200">
        <v>45431</v>
      </c>
      <c r="H200" t="s">
        <v>55</v>
      </c>
      <c r="I200">
        <v>2</v>
      </c>
    </row>
    <row r="201" spans="1:9" x14ac:dyDescent="0.3">
      <c r="A201" t="s">
        <v>600</v>
      </c>
      <c r="B201" t="s">
        <v>22</v>
      </c>
      <c r="C201" t="s">
        <v>91</v>
      </c>
      <c r="D201" t="s">
        <v>30</v>
      </c>
      <c r="E201" t="s">
        <v>601</v>
      </c>
      <c r="F201" t="s">
        <v>602</v>
      </c>
      <c r="G201">
        <v>138265</v>
      </c>
      <c r="H201" t="s">
        <v>55</v>
      </c>
      <c r="I201">
        <v>21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76"/>
  <sheetViews>
    <sheetView workbookViewId="0">
      <selection activeCell="B12" sqref="B12"/>
    </sheetView>
  </sheetViews>
  <sheetFormatPr defaultRowHeight="14.4" x14ac:dyDescent="0.3"/>
  <cols>
    <col min="1" max="1" width="12.5546875" bestFit="1" customWidth="1"/>
    <col min="2" max="2" width="14.44140625" bestFit="1" customWidth="1"/>
    <col min="15" max="15" width="12.5546875" bestFit="1" customWidth="1"/>
    <col min="16" max="16" width="14.44140625" bestFit="1" customWidth="1"/>
  </cols>
  <sheetData>
    <row r="1" spans="1:16" ht="21" x14ac:dyDescent="0.4">
      <c r="O1" s="4" t="s">
        <v>611</v>
      </c>
    </row>
    <row r="2" spans="1:16" ht="18" x14ac:dyDescent="0.35">
      <c r="A2" s="20" t="s">
        <v>603</v>
      </c>
      <c r="O2" s="14" t="s">
        <v>605</v>
      </c>
      <c r="P2" t="s">
        <v>607</v>
      </c>
    </row>
    <row r="3" spans="1:16" x14ac:dyDescent="0.3">
      <c r="A3" s="2" t="s">
        <v>34</v>
      </c>
      <c r="B3" s="2" t="s">
        <v>604</v>
      </c>
      <c r="O3" s="15" t="s">
        <v>28</v>
      </c>
      <c r="P3">
        <v>6084811</v>
      </c>
    </row>
    <row r="4" spans="1:16" x14ac:dyDescent="0.3">
      <c r="A4" t="s">
        <v>40</v>
      </c>
      <c r="B4">
        <v>3359457</v>
      </c>
      <c r="O4" s="15" t="s">
        <v>29</v>
      </c>
      <c r="P4">
        <v>4521559</v>
      </c>
    </row>
    <row r="5" spans="1:16" x14ac:dyDescent="0.3">
      <c r="A5" t="s">
        <v>57</v>
      </c>
      <c r="B5">
        <v>5350625</v>
      </c>
      <c r="O5" s="15" t="s">
        <v>30</v>
      </c>
      <c r="P5">
        <v>4704346</v>
      </c>
    </row>
    <row r="6" spans="1:16" x14ac:dyDescent="0.3">
      <c r="A6" t="s">
        <v>61</v>
      </c>
      <c r="B6">
        <v>5307104</v>
      </c>
      <c r="O6" s="15" t="s">
        <v>31</v>
      </c>
      <c r="P6">
        <v>5514831</v>
      </c>
    </row>
    <row r="7" spans="1:16" x14ac:dyDescent="0.3">
      <c r="A7" t="s">
        <v>91</v>
      </c>
      <c r="B7">
        <v>6853771</v>
      </c>
      <c r="O7" s="15" t="s">
        <v>32</v>
      </c>
      <c r="P7">
        <v>5232596</v>
      </c>
    </row>
    <row r="8" spans="1:16" x14ac:dyDescent="0.3">
      <c r="A8" t="s">
        <v>52</v>
      </c>
      <c r="B8">
        <v>5187186</v>
      </c>
      <c r="O8" s="15" t="s">
        <v>606</v>
      </c>
      <c r="P8">
        <v>26058143</v>
      </c>
    </row>
    <row r="18" spans="1:16" ht="21" x14ac:dyDescent="0.4">
      <c r="A18" s="4" t="s">
        <v>612</v>
      </c>
    </row>
    <row r="19" spans="1:16" x14ac:dyDescent="0.3">
      <c r="A19" s="14" t="s">
        <v>605</v>
      </c>
      <c r="B19" t="s">
        <v>607</v>
      </c>
    </row>
    <row r="20" spans="1:16" x14ac:dyDescent="0.3">
      <c r="A20" s="15" t="s">
        <v>126</v>
      </c>
      <c r="B20">
        <v>357288</v>
      </c>
    </row>
    <row r="21" spans="1:16" ht="21" x14ac:dyDescent="0.4">
      <c r="A21" s="15" t="s">
        <v>229</v>
      </c>
      <c r="B21">
        <v>173870</v>
      </c>
      <c r="O21" s="4" t="s">
        <v>610</v>
      </c>
    </row>
    <row r="22" spans="1:16" x14ac:dyDescent="0.3">
      <c r="A22" s="15" t="s">
        <v>435</v>
      </c>
      <c r="B22">
        <v>49977</v>
      </c>
    </row>
    <row r="23" spans="1:16" x14ac:dyDescent="0.3">
      <c r="A23" s="15" t="s">
        <v>138</v>
      </c>
      <c r="B23">
        <v>190878</v>
      </c>
      <c r="O23" s="14" t="s">
        <v>605</v>
      </c>
      <c r="P23" t="s">
        <v>608</v>
      </c>
    </row>
    <row r="24" spans="1:16" x14ac:dyDescent="0.3">
      <c r="A24" s="15" t="s">
        <v>399</v>
      </c>
      <c r="B24">
        <v>47978</v>
      </c>
      <c r="O24" s="15" t="s">
        <v>43</v>
      </c>
      <c r="P24">
        <v>55</v>
      </c>
    </row>
    <row r="25" spans="1:16" x14ac:dyDescent="0.3">
      <c r="A25" s="15" t="s">
        <v>509</v>
      </c>
      <c r="B25">
        <v>47537</v>
      </c>
      <c r="O25" s="15" t="s">
        <v>47</v>
      </c>
      <c r="P25">
        <v>62</v>
      </c>
    </row>
    <row r="26" spans="1:16" x14ac:dyDescent="0.3">
      <c r="A26" s="15" t="s">
        <v>304</v>
      </c>
      <c r="B26">
        <v>257381</v>
      </c>
      <c r="O26" s="15" t="s">
        <v>55</v>
      </c>
      <c r="P26">
        <v>83</v>
      </c>
    </row>
    <row r="27" spans="1:16" x14ac:dyDescent="0.3">
      <c r="A27" s="15" t="s">
        <v>443</v>
      </c>
      <c r="B27">
        <v>253204</v>
      </c>
      <c r="O27" s="15" t="s">
        <v>606</v>
      </c>
      <c r="P27">
        <v>200</v>
      </c>
    </row>
    <row r="28" spans="1:16" x14ac:dyDescent="0.3">
      <c r="A28" s="15" t="s">
        <v>557</v>
      </c>
      <c r="B28">
        <v>194625</v>
      </c>
    </row>
    <row r="29" spans="1:16" x14ac:dyDescent="0.3">
      <c r="A29" s="15" t="s">
        <v>318</v>
      </c>
      <c r="B29">
        <v>236922</v>
      </c>
    </row>
    <row r="30" spans="1:16" x14ac:dyDescent="0.3">
      <c r="A30" s="15" t="s">
        <v>256</v>
      </c>
      <c r="B30">
        <v>159404</v>
      </c>
    </row>
    <row r="31" spans="1:16" x14ac:dyDescent="0.3">
      <c r="A31" s="15" t="s">
        <v>474</v>
      </c>
      <c r="B31">
        <v>19488</v>
      </c>
    </row>
    <row r="32" spans="1:16" x14ac:dyDescent="0.3">
      <c r="A32" s="15" t="s">
        <v>265</v>
      </c>
      <c r="B32">
        <v>112562</v>
      </c>
    </row>
    <row r="33" spans="1:16" x14ac:dyDescent="0.3">
      <c r="A33" s="15" t="s">
        <v>405</v>
      </c>
      <c r="B33">
        <v>183835</v>
      </c>
    </row>
    <row r="34" spans="1:16" x14ac:dyDescent="0.3">
      <c r="A34" s="15" t="s">
        <v>402</v>
      </c>
      <c r="B34">
        <v>213326</v>
      </c>
    </row>
    <row r="35" spans="1:16" x14ac:dyDescent="0.3">
      <c r="A35" s="15" t="s">
        <v>438</v>
      </c>
      <c r="B35">
        <v>245118</v>
      </c>
    </row>
    <row r="36" spans="1:16" x14ac:dyDescent="0.3">
      <c r="A36" s="15" t="s">
        <v>70</v>
      </c>
      <c r="B36">
        <v>314093</v>
      </c>
    </row>
    <row r="37" spans="1:16" x14ac:dyDescent="0.3">
      <c r="A37" s="15" t="s">
        <v>274</v>
      </c>
      <c r="B37">
        <v>204342</v>
      </c>
    </row>
    <row r="38" spans="1:16" x14ac:dyDescent="0.3">
      <c r="A38" s="15" t="s">
        <v>456</v>
      </c>
      <c r="B38">
        <v>189362</v>
      </c>
    </row>
    <row r="39" spans="1:16" x14ac:dyDescent="0.3">
      <c r="A39" s="15" t="s">
        <v>156</v>
      </c>
      <c r="B39">
        <v>384439</v>
      </c>
    </row>
    <row r="40" spans="1:16" x14ac:dyDescent="0.3">
      <c r="A40" s="15" t="s">
        <v>162</v>
      </c>
      <c r="B40">
        <v>168106</v>
      </c>
    </row>
    <row r="41" spans="1:16" x14ac:dyDescent="0.3">
      <c r="A41" s="15" t="s">
        <v>528</v>
      </c>
      <c r="B41">
        <v>243447</v>
      </c>
    </row>
    <row r="42" spans="1:16" x14ac:dyDescent="0.3">
      <c r="A42" s="15" t="s">
        <v>51</v>
      </c>
      <c r="B42">
        <v>34023</v>
      </c>
    </row>
    <row r="43" spans="1:16" ht="21" x14ac:dyDescent="0.4">
      <c r="A43" s="15" t="s">
        <v>192</v>
      </c>
      <c r="B43">
        <v>83253</v>
      </c>
      <c r="O43" s="4" t="s">
        <v>609</v>
      </c>
    </row>
    <row r="44" spans="1:16" x14ac:dyDescent="0.3">
      <c r="A44" s="15" t="s">
        <v>386</v>
      </c>
      <c r="B44">
        <v>119544</v>
      </c>
    </row>
    <row r="45" spans="1:16" x14ac:dyDescent="0.3">
      <c r="A45" s="15" t="s">
        <v>183</v>
      </c>
      <c r="B45">
        <v>161200</v>
      </c>
      <c r="O45" s="14" t="s">
        <v>605</v>
      </c>
      <c r="P45" t="s">
        <v>607</v>
      </c>
    </row>
    <row r="46" spans="1:16" x14ac:dyDescent="0.3">
      <c r="A46" s="15" t="s">
        <v>195</v>
      </c>
      <c r="B46">
        <v>99759</v>
      </c>
      <c r="O46" s="15" t="s">
        <v>18</v>
      </c>
      <c r="P46">
        <v>6761017</v>
      </c>
    </row>
    <row r="47" spans="1:16" x14ac:dyDescent="0.3">
      <c r="A47" s="15" t="s">
        <v>39</v>
      </c>
      <c r="B47">
        <v>753351</v>
      </c>
      <c r="O47" s="15" t="s">
        <v>19</v>
      </c>
      <c r="P47">
        <v>4346834</v>
      </c>
    </row>
    <row r="48" spans="1:16" x14ac:dyDescent="0.3">
      <c r="A48" s="15" t="s">
        <v>147</v>
      </c>
      <c r="B48">
        <v>237459</v>
      </c>
      <c r="O48" s="15" t="s">
        <v>21</v>
      </c>
      <c r="P48">
        <v>4389084</v>
      </c>
    </row>
    <row r="49" spans="1:16" x14ac:dyDescent="0.3">
      <c r="A49" s="15" t="s">
        <v>287</v>
      </c>
      <c r="B49">
        <v>80333</v>
      </c>
      <c r="O49" s="15" t="s">
        <v>22</v>
      </c>
      <c r="P49">
        <v>3770394</v>
      </c>
    </row>
    <row r="50" spans="1:16" x14ac:dyDescent="0.3">
      <c r="A50" s="15" t="s">
        <v>64</v>
      </c>
      <c r="B50">
        <v>192871</v>
      </c>
      <c r="O50" s="15" t="s">
        <v>23</v>
      </c>
      <c r="P50">
        <v>6790814</v>
      </c>
    </row>
    <row r="51" spans="1:16" x14ac:dyDescent="0.3">
      <c r="A51" s="15" t="s">
        <v>94</v>
      </c>
      <c r="B51">
        <v>194230</v>
      </c>
      <c r="O51" s="15" t="s">
        <v>606</v>
      </c>
      <c r="P51">
        <v>26058143</v>
      </c>
    </row>
    <row r="52" spans="1:16" x14ac:dyDescent="0.3">
      <c r="A52" s="15" t="s">
        <v>115</v>
      </c>
      <c r="B52">
        <v>26593</v>
      </c>
    </row>
    <row r="53" spans="1:16" x14ac:dyDescent="0.3">
      <c r="A53" s="15" t="s">
        <v>584</v>
      </c>
      <c r="B53">
        <v>100955</v>
      </c>
    </row>
    <row r="54" spans="1:16" x14ac:dyDescent="0.3">
      <c r="A54" s="15" t="s">
        <v>352</v>
      </c>
      <c r="B54">
        <v>37521</v>
      </c>
    </row>
    <row r="55" spans="1:16" x14ac:dyDescent="0.3">
      <c r="A55" s="15" t="s">
        <v>346</v>
      </c>
      <c r="B55">
        <v>224308</v>
      </c>
    </row>
    <row r="56" spans="1:16" x14ac:dyDescent="0.3">
      <c r="A56" s="15" t="s">
        <v>506</v>
      </c>
      <c r="B56">
        <v>223625</v>
      </c>
    </row>
    <row r="57" spans="1:16" x14ac:dyDescent="0.3">
      <c r="A57" s="15" t="s">
        <v>79</v>
      </c>
      <c r="B57">
        <v>110093</v>
      </c>
    </row>
    <row r="58" spans="1:16" x14ac:dyDescent="0.3">
      <c r="A58" s="15" t="s">
        <v>106</v>
      </c>
      <c r="B58">
        <v>545714</v>
      </c>
    </row>
    <row r="59" spans="1:16" x14ac:dyDescent="0.3">
      <c r="A59" s="15" t="s">
        <v>216</v>
      </c>
      <c r="B59">
        <v>126330</v>
      </c>
    </row>
    <row r="60" spans="1:16" x14ac:dyDescent="0.3">
      <c r="A60" s="15" t="s">
        <v>426</v>
      </c>
      <c r="B60">
        <v>83875</v>
      </c>
    </row>
    <row r="61" spans="1:16" x14ac:dyDescent="0.3">
      <c r="A61" s="15" t="s">
        <v>420</v>
      </c>
      <c r="B61">
        <v>54100</v>
      </c>
    </row>
    <row r="62" spans="1:16" x14ac:dyDescent="0.3">
      <c r="A62" s="15" t="s">
        <v>153</v>
      </c>
      <c r="B62">
        <v>137173</v>
      </c>
    </row>
    <row r="63" spans="1:16" x14ac:dyDescent="0.3">
      <c r="A63" s="15" t="s">
        <v>485</v>
      </c>
      <c r="B63">
        <v>197099</v>
      </c>
    </row>
    <row r="64" spans="1:16" x14ac:dyDescent="0.3">
      <c r="A64" s="15" t="s">
        <v>159</v>
      </c>
      <c r="B64">
        <v>128521</v>
      </c>
    </row>
    <row r="65" spans="1:2" x14ac:dyDescent="0.3">
      <c r="A65" s="15" t="s">
        <v>341</v>
      </c>
      <c r="B65">
        <v>158613</v>
      </c>
    </row>
    <row r="66" spans="1:2" x14ac:dyDescent="0.3">
      <c r="A66" s="15" t="s">
        <v>123</v>
      </c>
      <c r="B66">
        <v>39677</v>
      </c>
    </row>
    <row r="67" spans="1:2" x14ac:dyDescent="0.3">
      <c r="A67" s="15" t="s">
        <v>244</v>
      </c>
      <c r="B67">
        <v>142677</v>
      </c>
    </row>
    <row r="68" spans="1:2" x14ac:dyDescent="0.3">
      <c r="A68" s="15" t="s">
        <v>103</v>
      </c>
      <c r="B68">
        <v>189195</v>
      </c>
    </row>
    <row r="69" spans="1:2" x14ac:dyDescent="0.3">
      <c r="A69" s="15" t="s">
        <v>565</v>
      </c>
      <c r="B69">
        <v>149958</v>
      </c>
    </row>
    <row r="70" spans="1:2" x14ac:dyDescent="0.3">
      <c r="A70" s="15" t="s">
        <v>349</v>
      </c>
      <c r="B70">
        <v>85833</v>
      </c>
    </row>
    <row r="71" spans="1:2" x14ac:dyDescent="0.3">
      <c r="A71" s="15" t="s">
        <v>312</v>
      </c>
      <c r="B71">
        <v>162734</v>
      </c>
    </row>
    <row r="72" spans="1:2" x14ac:dyDescent="0.3">
      <c r="A72" s="15" t="s">
        <v>282</v>
      </c>
      <c r="B72">
        <v>198020</v>
      </c>
    </row>
    <row r="73" spans="1:2" x14ac:dyDescent="0.3">
      <c r="A73" s="15" t="s">
        <v>235</v>
      </c>
      <c r="B73">
        <v>33181</v>
      </c>
    </row>
    <row r="74" spans="1:2" x14ac:dyDescent="0.3">
      <c r="A74" s="15" t="s">
        <v>324</v>
      </c>
      <c r="B74">
        <v>79612</v>
      </c>
    </row>
    <row r="75" spans="1:2" x14ac:dyDescent="0.3">
      <c r="A75" s="15" t="s">
        <v>172</v>
      </c>
      <c r="B75">
        <v>230414</v>
      </c>
    </row>
    <row r="76" spans="1:2" x14ac:dyDescent="0.3">
      <c r="A76" s="15" t="s">
        <v>76</v>
      </c>
      <c r="B76">
        <v>116021</v>
      </c>
    </row>
    <row r="77" spans="1:2" x14ac:dyDescent="0.3">
      <c r="A77" s="15" t="s">
        <v>355</v>
      </c>
      <c r="B77">
        <v>165701</v>
      </c>
    </row>
    <row r="78" spans="1:2" x14ac:dyDescent="0.3">
      <c r="A78" s="15" t="s">
        <v>392</v>
      </c>
      <c r="B78">
        <v>218105</v>
      </c>
    </row>
    <row r="79" spans="1:2" x14ac:dyDescent="0.3">
      <c r="A79" s="15" t="s">
        <v>241</v>
      </c>
      <c r="B79">
        <v>241310</v>
      </c>
    </row>
    <row r="80" spans="1:2" x14ac:dyDescent="0.3">
      <c r="A80" s="15" t="s">
        <v>97</v>
      </c>
      <c r="B80">
        <v>203936</v>
      </c>
    </row>
    <row r="81" spans="1:2" x14ac:dyDescent="0.3">
      <c r="A81" s="15" t="s">
        <v>383</v>
      </c>
      <c r="B81">
        <v>61999</v>
      </c>
    </row>
    <row r="82" spans="1:2" x14ac:dyDescent="0.3">
      <c r="A82" s="15" t="s">
        <v>432</v>
      </c>
      <c r="B82">
        <v>150978</v>
      </c>
    </row>
    <row r="83" spans="1:2" x14ac:dyDescent="0.3">
      <c r="A83" s="15" t="s">
        <v>554</v>
      </c>
      <c r="B83">
        <v>38773</v>
      </c>
    </row>
    <row r="84" spans="1:2" x14ac:dyDescent="0.3">
      <c r="A84" s="15" t="s">
        <v>169</v>
      </c>
      <c r="B84">
        <v>97601</v>
      </c>
    </row>
    <row r="85" spans="1:2" x14ac:dyDescent="0.3">
      <c r="A85" s="15" t="s">
        <v>298</v>
      </c>
      <c r="B85">
        <v>53171</v>
      </c>
    </row>
    <row r="86" spans="1:2" x14ac:dyDescent="0.3">
      <c r="A86" s="15" t="s">
        <v>335</v>
      </c>
      <c r="B86">
        <v>91858</v>
      </c>
    </row>
    <row r="87" spans="1:2" x14ac:dyDescent="0.3">
      <c r="A87" s="15" t="s">
        <v>44</v>
      </c>
      <c r="B87">
        <v>162752</v>
      </c>
    </row>
    <row r="88" spans="1:2" x14ac:dyDescent="0.3">
      <c r="A88" s="15" t="s">
        <v>498</v>
      </c>
      <c r="B88">
        <v>22261</v>
      </c>
    </row>
    <row r="89" spans="1:2" x14ac:dyDescent="0.3">
      <c r="A89" s="15" t="s">
        <v>321</v>
      </c>
      <c r="B89">
        <v>229625</v>
      </c>
    </row>
    <row r="90" spans="1:2" x14ac:dyDescent="0.3">
      <c r="A90" s="15" t="s">
        <v>175</v>
      </c>
      <c r="B90">
        <v>170230</v>
      </c>
    </row>
    <row r="91" spans="1:2" x14ac:dyDescent="0.3">
      <c r="A91" s="15" t="s">
        <v>450</v>
      </c>
      <c r="B91">
        <v>222485</v>
      </c>
    </row>
    <row r="92" spans="1:2" x14ac:dyDescent="0.3">
      <c r="A92" s="15" t="s">
        <v>315</v>
      </c>
      <c r="B92">
        <v>281265</v>
      </c>
    </row>
    <row r="93" spans="1:2" x14ac:dyDescent="0.3">
      <c r="A93" s="15" t="s">
        <v>595</v>
      </c>
      <c r="B93">
        <v>155179</v>
      </c>
    </row>
    <row r="94" spans="1:2" x14ac:dyDescent="0.3">
      <c r="A94" s="15" t="s">
        <v>488</v>
      </c>
      <c r="B94">
        <v>241363</v>
      </c>
    </row>
    <row r="95" spans="1:2" x14ac:dyDescent="0.3">
      <c r="A95" s="15" t="s">
        <v>295</v>
      </c>
      <c r="B95">
        <v>12856</v>
      </c>
    </row>
    <row r="96" spans="1:2" x14ac:dyDescent="0.3">
      <c r="A96" s="15" t="s">
        <v>538</v>
      </c>
      <c r="B96">
        <v>175933</v>
      </c>
    </row>
    <row r="97" spans="1:2" x14ac:dyDescent="0.3">
      <c r="A97" s="15" t="s">
        <v>467</v>
      </c>
      <c r="B97">
        <v>160709</v>
      </c>
    </row>
    <row r="98" spans="1:2" x14ac:dyDescent="0.3">
      <c r="A98" s="15" t="s">
        <v>150</v>
      </c>
      <c r="B98">
        <v>246843</v>
      </c>
    </row>
    <row r="99" spans="1:2" x14ac:dyDescent="0.3">
      <c r="A99" s="15" t="s">
        <v>178</v>
      </c>
      <c r="B99">
        <v>79231</v>
      </c>
    </row>
    <row r="100" spans="1:2" x14ac:dyDescent="0.3">
      <c r="A100" s="15" t="s">
        <v>330</v>
      </c>
      <c r="B100">
        <v>79856</v>
      </c>
    </row>
    <row r="101" spans="1:2" x14ac:dyDescent="0.3">
      <c r="A101" s="15" t="s">
        <v>366</v>
      </c>
      <c r="B101">
        <v>153463</v>
      </c>
    </row>
    <row r="102" spans="1:2" x14ac:dyDescent="0.3">
      <c r="A102" s="15" t="s">
        <v>279</v>
      </c>
      <c r="B102">
        <v>112875</v>
      </c>
    </row>
    <row r="103" spans="1:2" x14ac:dyDescent="0.3">
      <c r="A103" s="15" t="s">
        <v>518</v>
      </c>
      <c r="B103">
        <v>36223</v>
      </c>
    </row>
    <row r="104" spans="1:2" x14ac:dyDescent="0.3">
      <c r="A104" s="15" t="s">
        <v>84</v>
      </c>
      <c r="B104">
        <v>247460</v>
      </c>
    </row>
    <row r="105" spans="1:2" x14ac:dyDescent="0.3">
      <c r="A105" s="15" t="s">
        <v>87</v>
      </c>
      <c r="B105">
        <v>131388</v>
      </c>
    </row>
    <row r="106" spans="1:2" x14ac:dyDescent="0.3">
      <c r="A106" s="15" t="s">
        <v>221</v>
      </c>
      <c r="B106">
        <v>203093</v>
      </c>
    </row>
    <row r="107" spans="1:2" x14ac:dyDescent="0.3">
      <c r="A107" s="15" t="s">
        <v>515</v>
      </c>
      <c r="B107">
        <v>232724</v>
      </c>
    </row>
    <row r="108" spans="1:2" x14ac:dyDescent="0.3">
      <c r="A108" s="15" t="s">
        <v>338</v>
      </c>
      <c r="B108">
        <v>307778</v>
      </c>
    </row>
    <row r="109" spans="1:2" x14ac:dyDescent="0.3">
      <c r="A109" s="15" t="s">
        <v>247</v>
      </c>
      <c r="B109">
        <v>153500</v>
      </c>
    </row>
    <row r="110" spans="1:2" x14ac:dyDescent="0.3">
      <c r="A110" s="15" t="s">
        <v>90</v>
      </c>
      <c r="B110">
        <v>105459</v>
      </c>
    </row>
    <row r="111" spans="1:2" x14ac:dyDescent="0.3">
      <c r="A111" s="15" t="s">
        <v>477</v>
      </c>
      <c r="B111">
        <v>190149</v>
      </c>
    </row>
    <row r="112" spans="1:2" x14ac:dyDescent="0.3">
      <c r="A112" s="15" t="s">
        <v>543</v>
      </c>
      <c r="B112">
        <v>14328</v>
      </c>
    </row>
    <row r="113" spans="1:2" x14ac:dyDescent="0.3">
      <c r="A113" s="15" t="s">
        <v>48</v>
      </c>
      <c r="B113">
        <v>153556</v>
      </c>
    </row>
    <row r="114" spans="1:2" x14ac:dyDescent="0.3">
      <c r="A114" s="15" t="s">
        <v>568</v>
      </c>
      <c r="B114">
        <v>68682</v>
      </c>
    </row>
    <row r="115" spans="1:2" x14ac:dyDescent="0.3">
      <c r="A115" s="15" t="s">
        <v>464</v>
      </c>
      <c r="B115">
        <v>79853</v>
      </c>
    </row>
    <row r="116" spans="1:2" x14ac:dyDescent="0.3">
      <c r="A116" s="15" t="s">
        <v>201</v>
      </c>
      <c r="B116">
        <v>141884</v>
      </c>
    </row>
    <row r="117" spans="1:2" x14ac:dyDescent="0.3">
      <c r="A117" s="15" t="s">
        <v>100</v>
      </c>
      <c r="B117">
        <v>160341</v>
      </c>
    </row>
    <row r="118" spans="1:2" x14ac:dyDescent="0.3">
      <c r="A118" s="15" t="s">
        <v>327</v>
      </c>
      <c r="B118">
        <v>154878</v>
      </c>
    </row>
    <row r="119" spans="1:2" x14ac:dyDescent="0.3">
      <c r="A119" s="15" t="s">
        <v>389</v>
      </c>
      <c r="B119">
        <v>422321</v>
      </c>
    </row>
    <row r="120" spans="1:2" x14ac:dyDescent="0.3">
      <c r="A120" s="15" t="s">
        <v>461</v>
      </c>
      <c r="B120">
        <v>45478</v>
      </c>
    </row>
    <row r="121" spans="1:2" x14ac:dyDescent="0.3">
      <c r="A121" s="15" t="s">
        <v>495</v>
      </c>
      <c r="B121">
        <v>187328</v>
      </c>
    </row>
    <row r="122" spans="1:2" x14ac:dyDescent="0.3">
      <c r="A122" s="15" t="s">
        <v>453</v>
      </c>
      <c r="B122">
        <v>81895</v>
      </c>
    </row>
    <row r="123" spans="1:2" x14ac:dyDescent="0.3">
      <c r="A123" s="15" t="s">
        <v>548</v>
      </c>
      <c r="B123">
        <v>191980</v>
      </c>
    </row>
    <row r="124" spans="1:2" x14ac:dyDescent="0.3">
      <c r="A124" s="15" t="s">
        <v>380</v>
      </c>
      <c r="B124">
        <v>127814</v>
      </c>
    </row>
    <row r="125" spans="1:2" x14ac:dyDescent="0.3">
      <c r="A125" s="15" t="s">
        <v>533</v>
      </c>
      <c r="B125">
        <v>181301</v>
      </c>
    </row>
    <row r="126" spans="1:2" x14ac:dyDescent="0.3">
      <c r="A126" s="15" t="s">
        <v>56</v>
      </c>
      <c r="B126">
        <v>236978</v>
      </c>
    </row>
    <row r="127" spans="1:2" x14ac:dyDescent="0.3">
      <c r="A127" s="15" t="s">
        <v>224</v>
      </c>
      <c r="B127">
        <v>164301</v>
      </c>
    </row>
    <row r="128" spans="1:2" x14ac:dyDescent="0.3">
      <c r="A128" s="15" t="s">
        <v>358</v>
      </c>
      <c r="B128">
        <v>48784</v>
      </c>
    </row>
    <row r="129" spans="1:2" x14ac:dyDescent="0.3">
      <c r="A129" s="15" t="s">
        <v>551</v>
      </c>
      <c r="B129">
        <v>48567</v>
      </c>
    </row>
    <row r="130" spans="1:2" x14ac:dyDescent="0.3">
      <c r="A130" s="15" t="s">
        <v>576</v>
      </c>
      <c r="B130">
        <v>306373</v>
      </c>
    </row>
    <row r="131" spans="1:2" x14ac:dyDescent="0.3">
      <c r="A131" s="15" t="s">
        <v>301</v>
      </c>
      <c r="B131">
        <v>249560</v>
      </c>
    </row>
    <row r="132" spans="1:2" x14ac:dyDescent="0.3">
      <c r="A132" s="15" t="s">
        <v>525</v>
      </c>
      <c r="B132">
        <v>121513</v>
      </c>
    </row>
    <row r="133" spans="1:2" x14ac:dyDescent="0.3">
      <c r="A133" s="15" t="s">
        <v>363</v>
      </c>
      <c r="B133">
        <v>225008</v>
      </c>
    </row>
    <row r="134" spans="1:2" x14ac:dyDescent="0.3">
      <c r="A134" s="15" t="s">
        <v>253</v>
      </c>
      <c r="B134">
        <v>322892</v>
      </c>
    </row>
    <row r="135" spans="1:2" x14ac:dyDescent="0.3">
      <c r="A135" s="15" t="s">
        <v>581</v>
      </c>
      <c r="B135">
        <v>88995</v>
      </c>
    </row>
    <row r="136" spans="1:2" x14ac:dyDescent="0.3">
      <c r="A136" s="15" t="s">
        <v>112</v>
      </c>
      <c r="B136">
        <v>107101</v>
      </c>
    </row>
    <row r="137" spans="1:2" x14ac:dyDescent="0.3">
      <c r="A137" s="15" t="s">
        <v>132</v>
      </c>
      <c r="B137">
        <v>35109</v>
      </c>
    </row>
    <row r="138" spans="1:2" x14ac:dyDescent="0.3">
      <c r="A138" s="15" t="s">
        <v>512</v>
      </c>
      <c r="B138">
        <v>190858</v>
      </c>
    </row>
    <row r="139" spans="1:2" x14ac:dyDescent="0.3">
      <c r="A139" s="15" t="s">
        <v>262</v>
      </c>
      <c r="B139">
        <v>84130</v>
      </c>
    </row>
    <row r="140" spans="1:2" x14ac:dyDescent="0.3">
      <c r="A140" s="15" t="s">
        <v>268</v>
      </c>
      <c r="B140">
        <v>104483</v>
      </c>
    </row>
    <row r="141" spans="1:2" x14ac:dyDescent="0.3">
      <c r="A141" s="15" t="s">
        <v>423</v>
      </c>
      <c r="B141">
        <v>242949</v>
      </c>
    </row>
    <row r="142" spans="1:2" x14ac:dyDescent="0.3">
      <c r="A142" s="15" t="s">
        <v>413</v>
      </c>
      <c r="B142">
        <v>245628</v>
      </c>
    </row>
    <row r="143" spans="1:2" x14ac:dyDescent="0.3">
      <c r="A143" s="15" t="s">
        <v>67</v>
      </c>
      <c r="B143">
        <v>212530</v>
      </c>
    </row>
    <row r="144" spans="1:2" x14ac:dyDescent="0.3">
      <c r="A144" s="15" t="s">
        <v>73</v>
      </c>
      <c r="B144">
        <v>100171</v>
      </c>
    </row>
    <row r="145" spans="1:2" x14ac:dyDescent="0.3">
      <c r="A145" s="15" t="s">
        <v>250</v>
      </c>
      <c r="B145">
        <v>93424</v>
      </c>
    </row>
    <row r="146" spans="1:2" x14ac:dyDescent="0.3">
      <c r="A146" s="15" t="s">
        <v>374</v>
      </c>
      <c r="B146">
        <v>171364</v>
      </c>
    </row>
    <row r="147" spans="1:2" x14ac:dyDescent="0.3">
      <c r="A147" s="15" t="s">
        <v>198</v>
      </c>
      <c r="B147">
        <v>219296</v>
      </c>
    </row>
    <row r="148" spans="1:2" x14ac:dyDescent="0.3">
      <c r="A148" s="15" t="s">
        <v>135</v>
      </c>
      <c r="B148">
        <v>249644</v>
      </c>
    </row>
    <row r="149" spans="1:2" x14ac:dyDescent="0.3">
      <c r="A149" s="15" t="s">
        <v>369</v>
      </c>
      <c r="B149">
        <v>208058</v>
      </c>
    </row>
    <row r="150" spans="1:2" x14ac:dyDescent="0.3">
      <c r="A150" s="15" t="s">
        <v>109</v>
      </c>
      <c r="B150">
        <v>70710</v>
      </c>
    </row>
    <row r="151" spans="1:2" x14ac:dyDescent="0.3">
      <c r="A151" s="15" t="s">
        <v>309</v>
      </c>
      <c r="B151">
        <v>10571</v>
      </c>
    </row>
    <row r="152" spans="1:2" x14ac:dyDescent="0.3">
      <c r="A152" s="15" t="s">
        <v>600</v>
      </c>
      <c r="B152">
        <v>138265</v>
      </c>
    </row>
    <row r="153" spans="1:2" x14ac:dyDescent="0.3">
      <c r="A153" s="15" t="s">
        <v>210</v>
      </c>
      <c r="B153">
        <v>702829</v>
      </c>
    </row>
    <row r="154" spans="1:2" x14ac:dyDescent="0.3">
      <c r="A154" s="15" t="s">
        <v>482</v>
      </c>
      <c r="B154">
        <v>187507</v>
      </c>
    </row>
    <row r="155" spans="1:2" x14ac:dyDescent="0.3">
      <c r="A155" s="15" t="s">
        <v>429</v>
      </c>
      <c r="B155">
        <v>229842</v>
      </c>
    </row>
    <row r="156" spans="1:2" x14ac:dyDescent="0.3">
      <c r="A156" s="15" t="s">
        <v>232</v>
      </c>
      <c r="B156">
        <v>187391</v>
      </c>
    </row>
    <row r="157" spans="1:2" x14ac:dyDescent="0.3">
      <c r="A157" s="15" t="s">
        <v>129</v>
      </c>
      <c r="B157">
        <v>188904</v>
      </c>
    </row>
    <row r="158" spans="1:2" x14ac:dyDescent="0.3">
      <c r="A158" s="15" t="s">
        <v>259</v>
      </c>
      <c r="B158">
        <v>216823</v>
      </c>
    </row>
    <row r="159" spans="1:2" x14ac:dyDescent="0.3">
      <c r="A159" s="15" t="s">
        <v>271</v>
      </c>
      <c r="B159">
        <v>31659</v>
      </c>
    </row>
    <row r="160" spans="1:2" x14ac:dyDescent="0.3">
      <c r="A160" s="15" t="s">
        <v>60</v>
      </c>
      <c r="B160">
        <v>233368</v>
      </c>
    </row>
    <row r="161" spans="1:2" x14ac:dyDescent="0.3">
      <c r="A161" s="15" t="s">
        <v>408</v>
      </c>
      <c r="B161">
        <v>201123</v>
      </c>
    </row>
    <row r="162" spans="1:2" x14ac:dyDescent="0.3">
      <c r="A162" s="15" t="s">
        <v>186</v>
      </c>
      <c r="B162">
        <v>181657</v>
      </c>
    </row>
    <row r="163" spans="1:2" x14ac:dyDescent="0.3">
      <c r="A163" s="15" t="s">
        <v>120</v>
      </c>
      <c r="B163">
        <v>297683</v>
      </c>
    </row>
    <row r="164" spans="1:2" x14ac:dyDescent="0.3">
      <c r="A164" s="15" t="s">
        <v>501</v>
      </c>
      <c r="B164">
        <v>164402</v>
      </c>
    </row>
    <row r="165" spans="1:2" x14ac:dyDescent="0.3">
      <c r="A165" s="15" t="s">
        <v>238</v>
      </c>
      <c r="B165">
        <v>103585</v>
      </c>
    </row>
    <row r="166" spans="1:2" x14ac:dyDescent="0.3">
      <c r="A166" s="15" t="s">
        <v>213</v>
      </c>
      <c r="B166">
        <v>103539</v>
      </c>
    </row>
    <row r="167" spans="1:2" x14ac:dyDescent="0.3">
      <c r="A167" s="15" t="s">
        <v>204</v>
      </c>
      <c r="B167">
        <v>87843</v>
      </c>
    </row>
    <row r="168" spans="1:2" x14ac:dyDescent="0.3">
      <c r="A168" s="15" t="s">
        <v>189</v>
      </c>
      <c r="B168">
        <v>296368</v>
      </c>
    </row>
    <row r="169" spans="1:2" x14ac:dyDescent="0.3">
      <c r="A169" s="15" t="s">
        <v>377</v>
      </c>
      <c r="B169">
        <v>241669</v>
      </c>
    </row>
    <row r="170" spans="1:2" x14ac:dyDescent="0.3">
      <c r="A170" s="15" t="s">
        <v>292</v>
      </c>
      <c r="B170">
        <v>251165</v>
      </c>
    </row>
    <row r="171" spans="1:2" x14ac:dyDescent="0.3">
      <c r="A171" s="15" t="s">
        <v>562</v>
      </c>
      <c r="B171">
        <v>108654</v>
      </c>
    </row>
    <row r="172" spans="1:2" x14ac:dyDescent="0.3">
      <c r="A172" s="15" t="s">
        <v>573</v>
      </c>
      <c r="B172">
        <v>253106</v>
      </c>
    </row>
    <row r="173" spans="1:2" x14ac:dyDescent="0.3">
      <c r="A173" s="15" t="s">
        <v>141</v>
      </c>
      <c r="B173">
        <v>143369</v>
      </c>
    </row>
    <row r="174" spans="1:2" x14ac:dyDescent="0.3">
      <c r="A174" s="15" t="s">
        <v>144</v>
      </c>
      <c r="B174">
        <v>80578</v>
      </c>
    </row>
    <row r="175" spans="1:2" x14ac:dyDescent="0.3">
      <c r="A175" s="15" t="s">
        <v>207</v>
      </c>
      <c r="B175">
        <v>32999</v>
      </c>
    </row>
    <row r="176" spans="1:2" x14ac:dyDescent="0.3">
      <c r="A176" s="15" t="s">
        <v>606</v>
      </c>
      <c r="B176">
        <v>26058143</v>
      </c>
    </row>
  </sheetData>
  <pageMargins left="0.75" right="0.75" top="1" bottom="1" header="0.5" footer="0.5"/>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topLeftCell="A9" workbookViewId="0">
      <selection activeCell="D34" sqref="D34"/>
    </sheetView>
  </sheetViews>
  <sheetFormatPr defaultRowHeight="14.4" x14ac:dyDescent="0.3"/>
  <cols>
    <col min="5" max="5" width="12.5546875" bestFit="1" customWidth="1"/>
  </cols>
  <sheetData>
    <row r="1" spans="1:6" ht="28.8" x14ac:dyDescent="0.55000000000000004">
      <c r="A1" s="1" t="s">
        <v>14</v>
      </c>
    </row>
    <row r="3" spans="1:6" x14ac:dyDescent="0.3">
      <c r="A3" s="53" t="s">
        <v>15</v>
      </c>
      <c r="B3" s="52"/>
      <c r="C3" s="52"/>
      <c r="E3" s="3" t="s">
        <v>16</v>
      </c>
      <c r="F3" s="3" t="s">
        <v>17</v>
      </c>
    </row>
    <row r="4" spans="1:6" ht="21" x14ac:dyDescent="0.4">
      <c r="A4" s="51">
        <v>26058143</v>
      </c>
      <c r="B4" s="52"/>
      <c r="C4" s="52"/>
      <c r="E4" s="16" t="s">
        <v>18</v>
      </c>
      <c r="F4" s="16">
        <v>6761017</v>
      </c>
    </row>
    <row r="5" spans="1:6" x14ac:dyDescent="0.3">
      <c r="E5" s="16" t="s">
        <v>19</v>
      </c>
      <c r="F5" s="16">
        <v>4346834</v>
      </c>
    </row>
    <row r="6" spans="1:6" x14ac:dyDescent="0.3">
      <c r="A6" s="53" t="s">
        <v>20</v>
      </c>
      <c r="B6" s="52"/>
      <c r="C6" s="52"/>
      <c r="E6" s="16" t="s">
        <v>21</v>
      </c>
      <c r="F6" s="16">
        <v>4389084</v>
      </c>
    </row>
    <row r="7" spans="1:6" ht="21" x14ac:dyDescent="0.4">
      <c r="A7" s="51">
        <v>5</v>
      </c>
      <c r="B7" s="52"/>
      <c r="C7" s="52"/>
      <c r="E7" s="16" t="s">
        <v>22</v>
      </c>
      <c r="F7" s="16">
        <v>3770394</v>
      </c>
    </row>
    <row r="8" spans="1:6" x14ac:dyDescent="0.3">
      <c r="E8" s="16" t="s">
        <v>23</v>
      </c>
      <c r="F8" s="16">
        <v>6790814</v>
      </c>
    </row>
    <row r="9" spans="1:6" x14ac:dyDescent="0.3">
      <c r="A9" s="53" t="s">
        <v>24</v>
      </c>
      <c r="B9" s="52"/>
      <c r="C9" s="52"/>
    </row>
    <row r="10" spans="1:6" ht="21" x14ac:dyDescent="0.4">
      <c r="A10" s="51">
        <v>83</v>
      </c>
      <c r="B10" s="52"/>
      <c r="C10" s="52"/>
    </row>
    <row r="12" spans="1:6" x14ac:dyDescent="0.3">
      <c r="A12" s="53" t="s">
        <v>25</v>
      </c>
      <c r="B12" s="52"/>
      <c r="C12" s="52"/>
    </row>
    <row r="13" spans="1:6" ht="21" x14ac:dyDescent="0.4">
      <c r="A13" s="51">
        <v>200</v>
      </c>
      <c r="B13" s="52"/>
      <c r="C13" s="52"/>
    </row>
    <row r="15" spans="1:6" x14ac:dyDescent="0.3">
      <c r="E15" s="3" t="s">
        <v>26</v>
      </c>
      <c r="F15" s="3" t="s">
        <v>27</v>
      </c>
    </row>
    <row r="16" spans="1:6" x14ac:dyDescent="0.3">
      <c r="E16" s="16" t="s">
        <v>28</v>
      </c>
      <c r="F16" s="16">
        <v>6084811</v>
      </c>
    </row>
    <row r="17" spans="5:6" x14ac:dyDescent="0.3">
      <c r="E17" s="16" t="s">
        <v>29</v>
      </c>
      <c r="F17" s="16">
        <v>4521559</v>
      </c>
    </row>
    <row r="18" spans="5:6" x14ac:dyDescent="0.3">
      <c r="E18" s="16" t="s">
        <v>30</v>
      </c>
      <c r="F18" s="16">
        <v>4704346</v>
      </c>
    </row>
    <row r="19" spans="5:6" x14ac:dyDescent="0.3">
      <c r="E19" s="16" t="s">
        <v>31</v>
      </c>
      <c r="F19" s="16">
        <v>5514831</v>
      </c>
    </row>
    <row r="20" spans="5:6" x14ac:dyDescent="0.3">
      <c r="E20" s="16" t="s">
        <v>32</v>
      </c>
      <c r="F20" s="16">
        <v>5232596</v>
      </c>
    </row>
  </sheetData>
  <mergeCells count="8">
    <mergeCell ref="A10:C10"/>
    <mergeCell ref="A13:C13"/>
    <mergeCell ref="A6:C6"/>
    <mergeCell ref="A9:C9"/>
    <mergeCell ref="A3:C3"/>
    <mergeCell ref="A7:C7"/>
    <mergeCell ref="A12:C12"/>
    <mergeCell ref="A4:C4"/>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D9E5E-AB72-4365-B153-ED469BDA330E}">
  <dimension ref="A3:C20"/>
  <sheetViews>
    <sheetView workbookViewId="0">
      <selection activeCell="C8" sqref="C8"/>
    </sheetView>
  </sheetViews>
  <sheetFormatPr defaultRowHeight="14.4" x14ac:dyDescent="0.3"/>
  <sheetData>
    <row r="3" spans="1:3" x14ac:dyDescent="0.3">
      <c r="A3" s="5"/>
      <c r="B3" s="6"/>
      <c r="C3" s="7"/>
    </row>
    <row r="4" spans="1:3" x14ac:dyDescent="0.3">
      <c r="A4" s="8"/>
      <c r="B4" s="9"/>
      <c r="C4" s="10"/>
    </row>
    <row r="5" spans="1:3" x14ac:dyDescent="0.3">
      <c r="A5" s="8"/>
      <c r="B5" s="9"/>
      <c r="C5" s="10"/>
    </row>
    <row r="6" spans="1:3" x14ac:dyDescent="0.3">
      <c r="A6" s="8"/>
      <c r="B6" s="9"/>
      <c r="C6" s="10"/>
    </row>
    <row r="7" spans="1:3" x14ac:dyDescent="0.3">
      <c r="A7" s="8"/>
      <c r="B7" s="9"/>
      <c r="C7" s="10"/>
    </row>
    <row r="8" spans="1:3" x14ac:dyDescent="0.3">
      <c r="A8" s="8"/>
      <c r="B8" s="9"/>
      <c r="C8" s="10"/>
    </row>
    <row r="9" spans="1:3" x14ac:dyDescent="0.3">
      <c r="A9" s="8"/>
      <c r="B9" s="9"/>
      <c r="C9" s="10"/>
    </row>
    <row r="10" spans="1:3" x14ac:dyDescent="0.3">
      <c r="A10" s="8"/>
      <c r="B10" s="9"/>
      <c r="C10" s="10"/>
    </row>
    <row r="11" spans="1:3" x14ac:dyDescent="0.3">
      <c r="A11" s="8"/>
      <c r="B11" s="9"/>
      <c r="C11" s="10"/>
    </row>
    <row r="12" spans="1:3" x14ac:dyDescent="0.3">
      <c r="A12" s="8"/>
      <c r="B12" s="9"/>
      <c r="C12" s="10"/>
    </row>
    <row r="13" spans="1:3" x14ac:dyDescent="0.3">
      <c r="A13" s="8"/>
      <c r="B13" s="9"/>
      <c r="C13" s="10"/>
    </row>
    <row r="14" spans="1:3" x14ac:dyDescent="0.3">
      <c r="A14" s="8"/>
      <c r="B14" s="9"/>
      <c r="C14" s="10"/>
    </row>
    <row r="15" spans="1:3" x14ac:dyDescent="0.3">
      <c r="A15" s="8"/>
      <c r="B15" s="9"/>
      <c r="C15" s="10"/>
    </row>
    <row r="16" spans="1:3" x14ac:dyDescent="0.3">
      <c r="A16" s="8"/>
      <c r="B16" s="9"/>
      <c r="C16" s="10"/>
    </row>
    <row r="17" spans="1:3" x14ac:dyDescent="0.3">
      <c r="A17" s="8"/>
      <c r="B17" s="9"/>
      <c r="C17" s="10"/>
    </row>
    <row r="18" spans="1:3" x14ac:dyDescent="0.3">
      <c r="A18" s="8"/>
      <c r="B18" s="9"/>
      <c r="C18" s="10"/>
    </row>
    <row r="19" spans="1:3" x14ac:dyDescent="0.3">
      <c r="A19" s="8"/>
      <c r="B19" s="9"/>
      <c r="C19" s="10"/>
    </row>
    <row r="20" spans="1:3" x14ac:dyDescent="0.3">
      <c r="A20" s="11"/>
      <c r="B20" s="12"/>
      <c r="C20" s="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Analysis</vt:lpstr>
      <vt:lpstr>Dashboard</vt:lpstr>
      <vt:lpstr>Procurement_Data</vt:lpstr>
      <vt:lpstr>Pivot Summary</vt:lpstr>
      <vt:lpstr>Pivot Summary 1</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Saurabh Paigude</cp:lastModifiedBy>
  <dcterms:created xsi:type="dcterms:W3CDTF">2026-05-09T07:38:02Z</dcterms:created>
  <dcterms:modified xsi:type="dcterms:W3CDTF">2026-05-10T16:56:10Z</dcterms:modified>
</cp:coreProperties>
</file>